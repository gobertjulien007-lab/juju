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ypothèses" sheetId="1" state="visible" r:id="rId1"/>
    <sheet name="Tableau comparatif" sheetId="2" state="visible" r:id="rId2"/>
    <sheet name="Annexe — Calculs détaillé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€"/>
  </numFmts>
  <fonts count="14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  <sz val="10"/>
    </font>
    <font>
      <b val="1"/>
      <color rgb="00FFFFFF"/>
      <sz val="11"/>
    </font>
    <font>
      <color rgb="00000000"/>
      <sz val="10"/>
    </font>
    <font>
      <b val="1"/>
      <color rgb="00000000"/>
      <sz val="10"/>
    </font>
    <font>
      <i val="1"/>
      <color rgb="0064748B"/>
      <sz val="9"/>
    </font>
    <font>
      <b val="1"/>
      <color rgb="00FFFFFF"/>
      <sz val="9"/>
    </font>
    <font>
      <color rgb="00000000"/>
      <sz val="9"/>
    </font>
    <font>
      <b val="1"/>
      <color rgb="00000000"/>
      <sz val="9"/>
    </font>
    <font>
      <i val="1"/>
      <color rgb="0064748B"/>
      <sz val="8"/>
    </font>
    <font>
      <b val="1"/>
      <color rgb="000F172A"/>
      <sz val="9"/>
    </font>
    <font>
      <color rgb="000F172A"/>
      <sz val="9"/>
    </font>
    <font>
      <color rgb="001D4ED8"/>
      <sz val="9"/>
    </font>
  </fonts>
  <fills count="21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334155"/>
      </patternFill>
    </fill>
    <fill>
      <patternFill patternType="solid">
        <fgColor rgb="001E3A5F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14532D"/>
      </patternFill>
    </fill>
    <fill>
      <patternFill patternType="solid">
        <fgColor rgb="007C3AED"/>
      </patternFill>
    </fill>
    <fill>
      <patternFill patternType="solid">
        <fgColor rgb="007F1D1D"/>
      </patternFill>
    </fill>
    <fill>
      <patternFill patternType="solid">
        <fgColor rgb="00F1F5F9"/>
      </patternFill>
    </fill>
    <fill>
      <patternFill patternType="solid">
        <fgColor rgb="00FEF9F9"/>
      </patternFill>
    </fill>
    <fill>
      <patternFill patternType="solid">
        <fgColor rgb="00EFF6FF"/>
      </patternFill>
    </fill>
    <fill>
      <patternFill patternType="solid">
        <fgColor rgb="00F0FDF4"/>
      </patternFill>
    </fill>
    <fill>
      <patternFill patternType="solid">
        <fgColor rgb="00FEF2F2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FF7ED"/>
      </patternFill>
    </fill>
    <fill>
      <patternFill patternType="solid">
        <fgColor rgb="00FEE2E2"/>
      </patternFill>
    </fill>
    <fill>
      <patternFill patternType="solid">
        <fgColor rgb="00FFEDD5"/>
      </patternFill>
    </fill>
    <fill>
      <patternFill patternType="solid">
        <fgColor rgb="001E293B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5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wrapText="1"/>
    </xf>
    <xf numFmtId="10" fontId="5" fillId="6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right" vertical="center"/>
    </xf>
    <xf numFmtId="0" fontId="3" fillId="7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/>
    </xf>
    <xf numFmtId="0" fontId="2" fillId="9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3" fontId="8" fillId="10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164" fontId="9" fillId="11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164" fontId="9" fillId="12" borderId="1" applyAlignment="1" pivotButton="0" quotePrefix="0" xfId="0">
      <alignment horizontal="center" vertical="center"/>
    </xf>
    <xf numFmtId="164" fontId="8" fillId="13" borderId="1" applyAlignment="1" pivotButton="0" quotePrefix="0" xfId="0">
      <alignment horizontal="center" vertical="center"/>
    </xf>
    <xf numFmtId="164" fontId="9" fillId="13" borderId="1" applyAlignment="1" pivotButton="0" quotePrefix="0" xfId="0">
      <alignment horizontal="center" vertical="center"/>
    </xf>
    <xf numFmtId="0" fontId="8" fillId="13" borderId="1" applyAlignment="1" pivotButton="0" quotePrefix="0" xfId="0">
      <alignment horizontal="center" vertical="center"/>
    </xf>
    <xf numFmtId="164" fontId="8" fillId="14" borderId="1" applyAlignment="1" pivotButton="0" quotePrefix="0" xfId="0">
      <alignment horizontal="center" vertical="center"/>
    </xf>
    <xf numFmtId="164" fontId="9" fillId="14" borderId="1" applyAlignment="1" pivotButton="0" quotePrefix="0" xfId="0">
      <alignment horizontal="center" vertical="center"/>
    </xf>
    <xf numFmtId="164" fontId="8" fillId="15" borderId="1" applyAlignment="1" pivotButton="0" quotePrefix="0" xfId="0">
      <alignment horizontal="center" vertical="center"/>
    </xf>
    <xf numFmtId="164" fontId="9" fillId="15" borderId="1" applyAlignment="1" pivotButton="0" quotePrefix="0" xfId="0">
      <alignment horizontal="center" vertical="center"/>
    </xf>
    <xf numFmtId="164" fontId="8" fillId="16" borderId="1" applyAlignment="1" pivotButton="0" quotePrefix="0" xfId="0">
      <alignment horizontal="center" vertical="center"/>
    </xf>
    <xf numFmtId="164" fontId="9" fillId="16" borderId="1" applyAlignment="1" pivotButton="0" quotePrefix="0" xfId="0">
      <alignment horizontal="center" vertical="center"/>
    </xf>
    <xf numFmtId="0" fontId="8" fillId="16" borderId="1" applyAlignment="1" pivotButton="0" quotePrefix="0" xfId="0">
      <alignment horizontal="center" vertical="center"/>
    </xf>
    <xf numFmtId="164" fontId="8" fillId="17" borderId="1" applyAlignment="1" pivotButton="0" quotePrefix="0" xfId="0">
      <alignment horizontal="center" vertical="center"/>
    </xf>
    <xf numFmtId="164" fontId="8" fillId="18" borderId="1" applyAlignment="1" pivotButton="0" quotePrefix="0" xfId="0">
      <alignment horizontal="center" vertical="center"/>
    </xf>
    <xf numFmtId="164" fontId="9" fillId="17" borderId="1" applyAlignment="1" pivotButton="0" quotePrefix="0" xfId="0">
      <alignment horizontal="center" vertical="center"/>
    </xf>
    <xf numFmtId="164" fontId="8" fillId="19" borderId="1" applyAlignment="1" pivotButton="0" quotePrefix="0" xfId="0">
      <alignment horizontal="center" vertical="center"/>
    </xf>
    <xf numFmtId="164" fontId="9" fillId="19" borderId="1" applyAlignment="1" pivotButton="0" quotePrefix="0" xfId="0">
      <alignment horizontal="center" vertical="center"/>
    </xf>
    <xf numFmtId="0" fontId="7" fillId="20" borderId="1" applyAlignment="1" pivotButton="0" quotePrefix="0" xfId="0">
      <alignment horizontal="center" vertical="center"/>
    </xf>
    <xf numFmtId="164" fontId="7" fillId="20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11" fillId="10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4" fontId="8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4" customWidth="1" min="2" max="2"/>
    <col width="55" customWidth="1" min="3" max="3"/>
  </cols>
  <sheetData>
    <row r="1" ht="30" customHeight="1">
      <c r="A1" s="1" t="inlineStr">
        <is>
          <t>ÉTUDE COMPARATIVE IFI — HYPOTHÈSES DE TRAVAIL</t>
        </is>
      </c>
    </row>
    <row r="2" ht="20" customHeight="1">
      <c r="A2" s="2" t="inlineStr">
        <is>
          <t>Paramètre</t>
        </is>
      </c>
      <c r="B2" s="2" t="inlineStr">
        <is>
          <t>Valeur</t>
        </is>
      </c>
      <c r="C2" s="2" t="inlineStr">
        <is>
          <t>Note explicative</t>
        </is>
      </c>
    </row>
    <row r="3" ht="22" customHeight="1">
      <c r="A3" s="3" t="inlineStr">
        <is>
          <t>BIEN IMMOBILIER</t>
        </is>
      </c>
      <c r="B3" s="4" t="n"/>
      <c r="C3" s="4" t="n"/>
    </row>
    <row r="4" ht="18" customHeight="1">
      <c r="A4" s="5" t="inlineStr">
        <is>
          <t>Valeur d'achat</t>
        </is>
      </c>
      <c r="B4" s="6" t="n">
        <v>5000000</v>
      </c>
      <c r="C4" s="7" t="inlineStr">
        <is>
          <t>Résidence principale</t>
        </is>
      </c>
    </row>
    <row r="5" ht="18" customHeight="1">
      <c r="A5" s="5" t="inlineStr">
        <is>
          <t>Abattement résidence principale</t>
        </is>
      </c>
      <c r="B5" s="8" t="n">
        <v>0.3</v>
      </c>
      <c r="C5" s="7" t="inlineStr">
        <is>
          <t>30% prévu par la loi IFI</t>
        </is>
      </c>
    </row>
    <row r="6" ht="18" customHeight="1">
      <c r="A6" s="5" t="inlineStr">
        <is>
          <t>Base IFI (fixe, non revalorisée)</t>
        </is>
      </c>
      <c r="B6" s="6" t="n">
        <v>3500000</v>
      </c>
      <c r="C6" s="7" t="inlineStr">
        <is>
          <t>5M€ × 70%. Non revalorisée = choix pédagogique (évite projections incertaines)</t>
        </is>
      </c>
    </row>
    <row r="7" ht="18" customHeight="1">
      <c r="A7" s="5" t="inlineStr">
        <is>
          <t>Revalorisation du bien</t>
        </is>
      </c>
      <c r="B7" s="8" t="n">
        <v>0.02</v>
      </c>
      <c r="C7" s="7" t="inlineStr">
        <is>
          <t>2%/an. Identique dans les deux scénarios → n'impacte pas le delta financier</t>
        </is>
      </c>
    </row>
    <row r="8" ht="22" customHeight="1">
      <c r="A8" s="3" t="inlineStr">
        <is>
          <t>EMPRUNT IMMOBILIER</t>
        </is>
      </c>
      <c r="B8" s="4" t="n"/>
      <c r="C8" s="4" t="n"/>
    </row>
    <row r="9" ht="18" customHeight="1">
      <c r="A9" s="5" t="inlineStr">
        <is>
          <t>Montant emprunté</t>
        </is>
      </c>
      <c r="B9" s="6" t="n">
        <v>5000000</v>
      </c>
      <c r="C9" s="7" t="inlineStr">
        <is>
          <t>100% du prix d'achat</t>
        </is>
      </c>
    </row>
    <row r="10" ht="18" customHeight="1">
      <c r="A10" s="5" t="inlineStr">
        <is>
          <t>Taux d'intérêt annuel fixe</t>
        </is>
      </c>
      <c r="B10" s="8" t="n">
        <v>0.04</v>
      </c>
      <c r="C10" s="7" t="inlineStr">
        <is>
          <t>Taux fixe, toute durée</t>
        </is>
      </c>
    </row>
    <row r="11" ht="18" customHeight="1">
      <c r="A11" s="5" t="inlineStr">
        <is>
          <t>Durée</t>
        </is>
      </c>
      <c r="B11" s="9" t="n">
        <v>20</v>
      </c>
      <c r="C11" s="7" t="inlineStr">
        <is>
          <t>ans — prêt amortissable classique</t>
        </is>
      </c>
    </row>
    <row r="12" ht="18" customHeight="1">
      <c r="A12" s="5" t="inlineStr">
        <is>
          <t>Mensualité (calculée)</t>
        </is>
      </c>
      <c r="B12" s="6" t="n">
        <v>30299</v>
      </c>
      <c r="C12" s="7">
        <f> 5,000,000 × (4%/12) / [1−(1+4%/12)^−240]. Calculée en mensuel (240 mois).</f>
        <v/>
      </c>
    </row>
    <row r="13" ht="18" customHeight="1">
      <c r="A13" s="5" t="inlineStr">
        <is>
          <t>Annuité totale</t>
        </is>
      </c>
      <c r="B13" s="6" t="n">
        <v>363588</v>
      </c>
      <c r="C13" s="7" t="inlineStr">
        <is>
          <t>Payée depuis autres revenus du client</t>
        </is>
      </c>
    </row>
    <row r="14" ht="18" customHeight="1">
      <c r="A14" s="5" t="inlineStr">
        <is>
          <t>Service de la dette</t>
        </is>
      </c>
      <c r="B14" s="9" t="inlineStr">
        <is>
          <t>Autres revenus</t>
        </is>
      </c>
      <c r="C14" s="7" t="inlineStr">
        <is>
          <t>Le placement de 5M€ n'est JAMAIS touché pour rembourser le prêt</t>
        </is>
      </c>
    </row>
    <row r="15" ht="18" customHeight="1">
      <c r="A15" s="5" t="inlineStr">
        <is>
          <t>Total intérêts sur 20 ans</t>
        </is>
      </c>
      <c r="B15" s="6" t="n">
        <v>2271764</v>
      </c>
      <c r="C15" s="7" t="inlineStr">
        <is>
          <t>Coût réel du crédit. Déduit du patrimoine final en scénario B.</t>
        </is>
      </c>
    </row>
    <row r="16" ht="22" customHeight="1">
      <c r="A16" s="10" t="inlineStr">
        <is>
          <t>PLACEMENT FINANCIER</t>
        </is>
      </c>
      <c r="B16" s="4" t="n"/>
      <c r="C16" s="4" t="n"/>
    </row>
    <row r="17" ht="18" customHeight="1">
      <c r="A17" s="5" t="inlineStr">
        <is>
          <t>Capital initial placé</t>
        </is>
      </c>
      <c r="B17" s="6" t="n">
        <v>5000000</v>
      </c>
      <c r="C17" s="7" t="inlineStr">
        <is>
          <t>Les 5M€ que le client n'a pas dépensés (car il emprunte)</t>
        </is>
      </c>
    </row>
    <row r="18" ht="18" customHeight="1">
      <c r="A18" s="5" t="inlineStr">
        <is>
          <t>Rendement annuel</t>
        </is>
      </c>
      <c r="B18" s="8" t="n">
        <v>0.05</v>
      </c>
      <c r="C18" s="7" t="inlineStr">
        <is>
          <t>5% composé. Capitalisé en assurance-vie, sans fiscalité pendant la durée.</t>
        </is>
      </c>
    </row>
    <row r="19" ht="18" customHeight="1">
      <c r="A19" s="5" t="inlineStr">
        <is>
          <t>Fiscalité sur le placement</t>
        </is>
      </c>
      <c r="B19" s="9" t="inlineStr">
        <is>
          <t>0%</t>
        </is>
      </c>
      <c r="C19" s="7" t="inlineStr">
        <is>
          <t>Pas de prélèvements pendant la capitalisation (enveloppe AV)</t>
        </is>
      </c>
    </row>
    <row r="20" ht="18" customHeight="1">
      <c r="A20" s="5" t="inlineStr">
        <is>
          <t>Valeur du placement à 20 ans</t>
        </is>
      </c>
      <c r="B20" s="6" t="n">
        <v>13266489</v>
      </c>
      <c r="C20" s="7">
        <f> 5 000 000 × (1,05)^20 = 13.27M€</f>
        <v/>
      </c>
    </row>
    <row r="21" ht="22" customHeight="1">
      <c r="A21" s="11" t="inlineStr">
        <is>
          <t>LOGIQUE DE CALCUL (correction double-comptage)</t>
        </is>
      </c>
      <c r="B21" s="4" t="n"/>
      <c r="C21" s="4" t="n"/>
    </row>
    <row r="22" ht="18" customHeight="1">
      <c r="A22" s="5" t="inlineStr">
        <is>
          <t>Moteur 1 — Placement</t>
        </is>
      </c>
      <c r="B22" s="9" t="inlineStr">
        <is>
          <t>+8,27M€ net</t>
        </is>
      </c>
      <c r="C22" s="7" t="inlineStr">
        <is>
          <t>Le 5M€ grossit à 5%/an → 13,27M€. Gain net = 13,27M€ − 5M€ = 8,27M€</t>
        </is>
      </c>
    </row>
    <row r="23" ht="18" customHeight="1">
      <c r="A23" s="5" t="inlineStr">
        <is>
          <t>Moteur 2 — Coût crédit</t>
        </is>
      </c>
      <c r="B23" s="9" t="inlineStr">
        <is>
          <t>−2,27M€</t>
        </is>
      </c>
      <c r="C23" s="7" t="inlineStr">
        <is>
          <t>Total intérêts payés sur 20 ans (calculé mensuellement sur 240 mois)</t>
        </is>
      </c>
    </row>
    <row r="24" ht="18" customHeight="1">
      <c r="A24" s="5" t="inlineStr">
        <is>
          <t>Moteur 3 — Économie IFI</t>
        </is>
      </c>
      <c r="B24" s="9" t="inlineStr">
        <is>
          <t>+332k€</t>
        </is>
      </c>
      <c r="C24" s="7" t="inlineStr">
        <is>
          <t>IFI évitée 13 ans (20 690€/an) + faible IFI ans 14-20. Total : 332k€</t>
        </is>
      </c>
    </row>
    <row r="25" ht="18" customHeight="1">
      <c r="A25" s="5" t="inlineStr">
        <is>
          <t>⚠ Levier net NON réinvesti séparément</t>
        </is>
      </c>
      <c r="B25" s="9" t="inlineStr">
        <is>
          <t>Supprimé</t>
        </is>
      </c>
      <c r="C25" s="7" t="inlineStr">
        <is>
          <t>Rendement 5M − Intérêts = déjà dans la croissance du 5M. Réinvestir séparément = double-comptage.</t>
        </is>
      </c>
    </row>
    <row r="26" ht="18" customHeight="1">
      <c r="A26" s="5" t="inlineStr">
        <is>
          <t>AVANTAGE NET TOTAL</t>
        </is>
      </c>
      <c r="B26" s="6" t="n">
        <v>11327040</v>
      </c>
      <c r="C26" s="7">
        <f> +8,27M€ − 2,27M€ + 332k€ = +11.33M€</f>
        <v/>
      </c>
    </row>
    <row r="27" ht="22" customHeight="1">
      <c r="A27" s="11" t="inlineStr">
        <is>
          <t>BARÈME IFI 2024 (Bofip BOI-PAT-IFI-20-30-30)</t>
        </is>
      </c>
      <c r="B27" s="4" t="n"/>
      <c r="C27" s="4" t="n"/>
    </row>
    <row r="28" ht="18" customHeight="1">
      <c r="A28" s="5" t="inlineStr">
        <is>
          <t xml:space="preserve">  800k€ → 1,300k€</t>
        </is>
      </c>
      <c r="B28" s="9" t="inlineStr">
        <is>
          <t>0.50%</t>
        </is>
      </c>
      <c r="C28" s="7" t="inlineStr">
        <is>
          <t>Déductible IFI : Capital Restant Dû uniquement (hors intérêts). Seuil déclenchement : 1 300 000 €. Assiette rétroactive à 800 000 €.</t>
        </is>
      </c>
    </row>
    <row r="29" ht="18" customHeight="1">
      <c r="A29" s="5" t="inlineStr">
        <is>
          <t xml:space="preserve">  1,300k€ → 2,570k€</t>
        </is>
      </c>
      <c r="B29" s="9" t="inlineStr">
        <is>
          <t>0.70%</t>
        </is>
      </c>
      <c r="C29" s="7" t="inlineStr"/>
    </row>
    <row r="30" ht="18" customHeight="1">
      <c r="A30" s="5" t="inlineStr">
        <is>
          <t xml:space="preserve">  2,570k€ → 5,000k€</t>
        </is>
      </c>
      <c r="B30" s="9" t="inlineStr">
        <is>
          <t>1.00%</t>
        </is>
      </c>
      <c r="C30" s="7" t="inlineStr"/>
    </row>
    <row r="31" ht="18" customHeight="1">
      <c r="A31" s="5" t="inlineStr">
        <is>
          <t xml:space="preserve">  5,000k€ → 10,000k€</t>
        </is>
      </c>
      <c r="B31" s="9" t="inlineStr">
        <is>
          <t>1.25%</t>
        </is>
      </c>
      <c r="C31" s="7" t="inlineStr"/>
    </row>
    <row r="32" ht="18" customHeight="1">
      <c r="A32" s="5" t="inlineStr">
        <is>
          <t xml:space="preserve">  10,000k€ → ∞</t>
        </is>
      </c>
      <c r="B32" s="9" t="inlineStr">
        <is>
          <t>1.50%</t>
        </is>
      </c>
      <c r="C32" s="7" t="inlineStr"/>
    </row>
  </sheetData>
  <mergeCells count="6">
    <mergeCell ref="A1:C1"/>
    <mergeCell ref="A8:C8"/>
    <mergeCell ref="A27:C27"/>
    <mergeCell ref="A3:C3"/>
    <mergeCell ref="A21:C21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17" customWidth="1" min="4" max="4"/>
    <col width="17" customWidth="1" min="5" max="5"/>
    <col width="13" customWidth="1" min="6" max="6"/>
    <col width="17" customWidth="1" min="7" max="7"/>
    <col width="13" customWidth="1" min="8" max="8"/>
    <col width="17" customWidth="1" min="9" max="9"/>
    <col width="13" customWidth="1" min="10" max="10"/>
    <col width="13" customWidth="1" min="11" max="11"/>
    <col width="16" customWidth="1" min="12" max="12"/>
    <col width="15" customWidth="1" min="13" max="13"/>
  </cols>
  <sheetData>
    <row r="1" ht="30" customHeight="1">
      <c r="A1" s="1" t="inlineStr">
        <is>
          <t>TABLEAU COMPARATIF — ACHAT CASH (A) vs EMPRUNT 4% / 20 ANS (B)</t>
        </is>
      </c>
    </row>
    <row r="2" ht="22" customHeight="1">
      <c r="A2" s="2" t="inlineStr">
        <is>
          <t>AN</t>
        </is>
      </c>
      <c r="B2" s="12" t="inlineStr">
        <is>
          <t>SCÉNARIO A — ACHAT CASH</t>
        </is>
      </c>
      <c r="C2" s="4" t="n"/>
      <c r="D2" s="4" t="n"/>
      <c r="E2" s="13" t="inlineStr">
        <is>
          <t>SCÉNARIO B — EMPRUNT 4% / 20 ANS</t>
        </is>
      </c>
      <c r="F2" s="4" t="n"/>
      <c r="G2" s="4" t="n"/>
      <c r="H2" s="4" t="n"/>
      <c r="I2" s="4" t="n"/>
      <c r="J2" s="14" t="inlineStr">
        <is>
          <t>AVANTAGE B vs A</t>
        </is>
      </c>
      <c r="K2" s="4" t="n"/>
      <c r="L2" s="4" t="n"/>
      <c r="M2" s="4" t="n"/>
    </row>
    <row r="3" ht="38" customHeight="1">
      <c r="A3" s="15" t="inlineStr">
        <is>
          <t>Année</t>
        </is>
      </c>
      <c r="B3" s="16" t="inlineStr">
        <is>
          <t>Valeur maison
(+2%/an)</t>
        </is>
      </c>
      <c r="C3" s="16" t="inlineStr">
        <is>
          <t>IFI payée
(A)</t>
        </is>
      </c>
      <c r="D3" s="16" t="inlineStr">
        <is>
          <t>Pat. net cumulé
(A)</t>
        </is>
      </c>
      <c r="E3" s="17" t="inlineStr">
        <is>
          <t>CRD fin
(capital restant)</t>
        </is>
      </c>
      <c r="F3" s="17" t="inlineStr">
        <is>
          <t>Intérêts
payés</t>
        </is>
      </c>
      <c r="G3" s="17" t="inlineStr">
        <is>
          <t>Placement 5M€
(valeur)</t>
        </is>
      </c>
      <c r="H3" s="17" t="inlineStr">
        <is>
          <t>IFI payée
(B)</t>
        </is>
      </c>
      <c r="I3" s="17" t="inlineStr">
        <is>
          <t>Pat. net cumulé
(B)</t>
        </is>
      </c>
      <c r="J3" s="18" t="inlineStr">
        <is>
          <t>Éco. IFI
annuelle</t>
        </is>
      </c>
      <c r="K3" s="18" t="inlineStr">
        <is>
          <t>Cumul éco.
IFI</t>
        </is>
      </c>
      <c r="L3" s="18" t="inlineStr">
        <is>
          <t>Delta
patrimoine</t>
        </is>
      </c>
      <c r="M3" s="18" t="inlineStr">
        <is>
          <t>Statut IFI (B)</t>
        </is>
      </c>
    </row>
    <row r="4" ht="17" customHeight="1">
      <c r="A4" s="19" t="n">
        <v>1</v>
      </c>
      <c r="B4" s="20" t="n">
        <v>5100000</v>
      </c>
      <c r="C4" s="20" t="n">
        <v>20690</v>
      </c>
      <c r="D4" s="21" t="n">
        <v>5079310</v>
      </c>
      <c r="E4" s="22" t="n">
        <v>4833379.110678445</v>
      </c>
      <c r="F4" s="22" t="n">
        <v>196967.3082580916</v>
      </c>
      <c r="G4" s="22" t="n">
        <v>5250000</v>
      </c>
      <c r="H4" s="22" t="n">
        <v>0</v>
      </c>
      <c r="I4" s="23" t="n">
        <v>10153032.69174191</v>
      </c>
      <c r="J4" s="24" t="n">
        <v>20690</v>
      </c>
      <c r="K4" s="24" t="n">
        <v>20690</v>
      </c>
      <c r="L4" s="25" t="n">
        <v>5073722.691741908</v>
      </c>
      <c r="M4" s="26" t="inlineStr">
        <is>
          <t>✓ Protégé</t>
        </is>
      </c>
    </row>
    <row r="5" ht="17" customHeight="1">
      <c r="A5" s="19" t="n">
        <v>2</v>
      </c>
      <c r="B5" s="27" t="n">
        <v>5202000</v>
      </c>
      <c r="C5" s="27" t="n">
        <v>20690</v>
      </c>
      <c r="D5" s="28" t="n">
        <v>5160620</v>
      </c>
      <c r="E5" s="29" t="n">
        <v>4659969.829243262</v>
      </c>
      <c r="F5" s="29" t="n">
        <v>190178.916144464</v>
      </c>
      <c r="G5" s="29" t="n">
        <v>5512500</v>
      </c>
      <c r="H5" s="29" t="n">
        <v>0</v>
      </c>
      <c r="I5" s="30" t="n">
        <v>10327353.77559744</v>
      </c>
      <c r="J5" s="31" t="n">
        <v>20690</v>
      </c>
      <c r="K5" s="31" t="n">
        <v>41380</v>
      </c>
      <c r="L5" s="32" t="n">
        <v>5166733.775597444</v>
      </c>
      <c r="M5" s="33" t="inlineStr">
        <is>
          <t>✓ Protégé</t>
        </is>
      </c>
    </row>
    <row r="6" ht="17" customHeight="1">
      <c r="A6" s="19" t="n">
        <v>3</v>
      </c>
      <c r="B6" s="20" t="n">
        <v>5306040</v>
      </c>
      <c r="C6" s="20" t="n">
        <v>20690</v>
      </c>
      <c r="D6" s="21" t="n">
        <v>5243970</v>
      </c>
      <c r="E6" s="22" t="n">
        <v>4479495.586125799</v>
      </c>
      <c r="F6" s="22" t="n">
        <v>183113.9544621826</v>
      </c>
      <c r="G6" s="22" t="n">
        <v>5788125</v>
      </c>
      <c r="H6" s="22" t="n">
        <v>0</v>
      </c>
      <c r="I6" s="23" t="n">
        <v>10523904.82113526</v>
      </c>
      <c r="J6" s="24" t="n">
        <v>20690</v>
      </c>
      <c r="K6" s="24" t="n">
        <v>62070</v>
      </c>
      <c r="L6" s="25" t="n">
        <v>5279934.821135262</v>
      </c>
      <c r="M6" s="26" t="inlineStr">
        <is>
          <t>✓ Protégé</t>
        </is>
      </c>
    </row>
    <row r="7" ht="17" customHeight="1">
      <c r="A7" s="19" t="n">
        <v>4</v>
      </c>
      <c r="B7" s="27" t="n">
        <v>5412160.8</v>
      </c>
      <c r="C7" s="27" t="n">
        <v>20690</v>
      </c>
      <c r="D7" s="28" t="n">
        <v>5329400.8</v>
      </c>
      <c r="E7" s="29" t="n">
        <v>4291668.54388645</v>
      </c>
      <c r="F7" s="29" t="n">
        <v>175761.155340296</v>
      </c>
      <c r="G7" s="29" t="n">
        <v>6077531.25</v>
      </c>
      <c r="H7" s="29" t="n">
        <v>0</v>
      </c>
      <c r="I7" s="30" t="n">
        <v>10743670.71579497</v>
      </c>
      <c r="J7" s="31" t="n">
        <v>20690</v>
      </c>
      <c r="K7" s="31" t="n">
        <v>82760</v>
      </c>
      <c r="L7" s="32" t="n">
        <v>5414269.915794966</v>
      </c>
      <c r="M7" s="33" t="inlineStr">
        <is>
          <t>✓ Protégé</t>
        </is>
      </c>
    </row>
    <row r="8" ht="17" customHeight="1">
      <c r="A8" s="19" t="n">
        <v>5</v>
      </c>
      <c r="B8" s="20" t="n">
        <v>5520404.016</v>
      </c>
      <c r="C8" s="20" t="n">
        <v>20690</v>
      </c>
      <c r="D8" s="21" t="n">
        <v>5416954.016</v>
      </c>
      <c r="E8" s="22" t="n">
        <v>4096189.138144208</v>
      </c>
      <c r="F8" s="22" t="n">
        <v>168108.7918374043</v>
      </c>
      <c r="G8" s="22" t="n">
        <v>6381407.8125</v>
      </c>
      <c r="H8" s="22" t="n">
        <v>0</v>
      </c>
      <c r="I8" s="23" t="n">
        <v>10987681.70245756</v>
      </c>
      <c r="J8" s="24" t="n">
        <v>20690</v>
      </c>
      <c r="K8" s="24" t="n">
        <v>103450</v>
      </c>
      <c r="L8" s="25" t="n">
        <v>5570727.68645756</v>
      </c>
      <c r="M8" s="26" t="inlineStr">
        <is>
          <t>✓ Protégé</t>
        </is>
      </c>
    </row>
    <row r="9" ht="17" customHeight="1">
      <c r="A9" s="19" t="n">
        <v>6</v>
      </c>
      <c r="B9" s="27" t="n">
        <v>5630812.09632</v>
      </c>
      <c r="C9" s="27" t="n">
        <v>20690</v>
      </c>
      <c r="D9" s="28" t="n">
        <v>5506672.09632</v>
      </c>
      <c r="E9" s="29" t="n">
        <v>3892745.599802984</v>
      </c>
      <c r="F9" s="29" t="n">
        <v>160144.6592384219</v>
      </c>
      <c r="G9" s="29" t="n">
        <v>6700478.203125</v>
      </c>
      <c r="H9" s="29" t="n">
        <v>0</v>
      </c>
      <c r="I9" s="30" t="n">
        <v>11257015.51416414</v>
      </c>
      <c r="J9" s="31" t="n">
        <v>20690</v>
      </c>
      <c r="K9" s="31" t="n">
        <v>124140</v>
      </c>
      <c r="L9" s="32" t="n">
        <v>5750343.417844139</v>
      </c>
      <c r="M9" s="33" t="inlineStr">
        <is>
          <t>✓ Protégé</t>
        </is>
      </c>
    </row>
    <row r="10" ht="17" customHeight="1">
      <c r="A10" s="19" t="n">
        <v>7</v>
      </c>
      <c r="B10" s="20" t="n">
        <v>5743428.3382464</v>
      </c>
      <c r="C10" s="20" t="n">
        <v>20690</v>
      </c>
      <c r="D10" s="21" t="n">
        <v>5598598.3382464</v>
      </c>
      <c r="E10" s="22" t="n">
        <v>3681013.457812679</v>
      </c>
      <c r="F10" s="22" t="n">
        <v>151856.055589339</v>
      </c>
      <c r="G10" s="22" t="n">
        <v>7035502.11328125</v>
      </c>
      <c r="H10" s="22" t="n">
        <v>0</v>
      </c>
      <c r="I10" s="23" t="n">
        <v>11552799.61065745</v>
      </c>
      <c r="J10" s="24" t="n">
        <v>20690</v>
      </c>
      <c r="K10" s="24" t="n">
        <v>144830</v>
      </c>
      <c r="L10" s="25" t="n">
        <v>5954201.27241105</v>
      </c>
      <c r="M10" s="26" t="inlineStr">
        <is>
          <t>✓ Protégé</t>
        </is>
      </c>
    </row>
    <row r="11" ht="17" customHeight="1">
      <c r="A11" s="19" t="n">
        <v>8</v>
      </c>
      <c r="B11" s="27" t="n">
        <v>5858296.905011328</v>
      </c>
      <c r="C11" s="27" t="n">
        <v>20690</v>
      </c>
      <c r="D11" s="28" t="n">
        <v>5692776.905011328</v>
      </c>
      <c r="E11" s="29" t="n">
        <v>3460655.021671975</v>
      </c>
      <c r="F11" s="29" t="n">
        <v>143229.761438942</v>
      </c>
      <c r="G11" s="29" t="n">
        <v>7387277.218945313</v>
      </c>
      <c r="H11" s="29" t="n">
        <v>0</v>
      </c>
      <c r="I11" s="30" t="n">
        <v>11876213.5216475</v>
      </c>
      <c r="J11" s="31" t="n">
        <v>20690</v>
      </c>
      <c r="K11" s="31" t="n">
        <v>165520</v>
      </c>
      <c r="L11" s="32" t="n">
        <v>6183436.616636172</v>
      </c>
      <c r="M11" s="33" t="inlineStr">
        <is>
          <t>✓ Protégé</t>
        </is>
      </c>
    </row>
    <row r="12" ht="17" customHeight="1">
      <c r="A12" s="19" t="n">
        <v>9</v>
      </c>
      <c r="B12" s="20" t="n">
        <v>5975462.843111554</v>
      </c>
      <c r="C12" s="20" t="n">
        <v>20690</v>
      </c>
      <c r="D12" s="21" t="n">
        <v>5789252.843111554</v>
      </c>
      <c r="E12" s="22" t="n">
        <v>3231318.842847507</v>
      </c>
      <c r="F12" s="22" t="n">
        <v>134252.0187551778</v>
      </c>
      <c r="G12" s="22" t="n">
        <v>7756641.079892579</v>
      </c>
      <c r="H12" s="22" t="n">
        <v>0</v>
      </c>
      <c r="I12" s="23" t="n">
        <v>12228491.30193982</v>
      </c>
      <c r="J12" s="24" t="n">
        <v>20690</v>
      </c>
      <c r="K12" s="24" t="n">
        <v>186210</v>
      </c>
      <c r="L12" s="25" t="n">
        <v>6439238.458828261</v>
      </c>
      <c r="M12" s="26" t="inlineStr">
        <is>
          <t>✓ Protégé</t>
        </is>
      </c>
    </row>
    <row r="13" ht="17" customHeight="1">
      <c r="A13" s="19" t="n">
        <v>10</v>
      </c>
      <c r="B13" s="27" t="n">
        <v>6094972.099973786</v>
      </c>
      <c r="C13" s="27" t="n">
        <v>20690</v>
      </c>
      <c r="D13" s="28" t="n">
        <v>5888072.099973786</v>
      </c>
      <c r="E13" s="29" t="n">
        <v>2992639.154250401</v>
      </c>
      <c r="F13" s="29" t="n">
        <v>124908.5089825401</v>
      </c>
      <c r="G13" s="29" t="n">
        <v>8144473.133887209</v>
      </c>
      <c r="H13" s="29" t="n">
        <v>0</v>
      </c>
      <c r="I13" s="30" t="n">
        <v>12610924.10381414</v>
      </c>
      <c r="J13" s="31" t="n">
        <v>20690</v>
      </c>
      <c r="K13" s="31" t="n">
        <v>206900</v>
      </c>
      <c r="L13" s="32" t="n">
        <v>6722852.003840351</v>
      </c>
      <c r="M13" s="33" t="inlineStr">
        <is>
          <t>✓ Protégé</t>
        </is>
      </c>
    </row>
    <row r="14" ht="17" customHeight="1">
      <c r="A14" s="19" t="n">
        <v>11</v>
      </c>
      <c r="B14" s="20" t="n">
        <v>6216871.541973261</v>
      </c>
      <c r="C14" s="20" t="n">
        <v>20690</v>
      </c>
      <c r="D14" s="21" t="n">
        <v>5989281.541973261</v>
      </c>
      <c r="E14" s="22" t="n">
        <v>2744235.286876234</v>
      </c>
      <c r="F14" s="22" t="n">
        <v>115184.3302054791</v>
      </c>
      <c r="G14" s="22" t="n">
        <v>8551696.790581569</v>
      </c>
      <c r="H14" s="22" t="n">
        <v>0</v>
      </c>
      <c r="I14" s="23" t="n">
        <v>13024862.87230249</v>
      </c>
      <c r="J14" s="24" t="n">
        <v>20690</v>
      </c>
      <c r="K14" s="24" t="n">
        <v>227590</v>
      </c>
      <c r="L14" s="25" t="n">
        <v>7035581.33032923</v>
      </c>
      <c r="M14" s="26" t="inlineStr">
        <is>
          <t>✓ Protégé</t>
        </is>
      </c>
    </row>
    <row r="15" ht="17" customHeight="1">
      <c r="A15" s="19" t="n">
        <v>12</v>
      </c>
      <c r="B15" s="27" t="n">
        <v>6341208.972812726</v>
      </c>
      <c r="C15" s="27" t="n">
        <v>20690</v>
      </c>
      <c r="D15" s="28" t="n">
        <v>6092928.972812726</v>
      </c>
      <c r="E15" s="29" t="n">
        <v>2485711.062678002</v>
      </c>
      <c r="F15" s="29" t="n">
        <v>105063.9733814128</v>
      </c>
      <c r="G15" s="29" t="n">
        <v>8979281.630110648</v>
      </c>
      <c r="H15" s="29" t="n">
        <v>0</v>
      </c>
      <c r="I15" s="30" t="n">
        <v>13471721.16928962</v>
      </c>
      <c r="J15" s="31" t="n">
        <v>20690</v>
      </c>
      <c r="K15" s="31" t="n">
        <v>248280</v>
      </c>
      <c r="L15" s="32" t="n">
        <v>7378792.196476896</v>
      </c>
      <c r="M15" s="33" t="inlineStr">
        <is>
          <t>✓ Protégé</t>
        </is>
      </c>
    </row>
    <row r="16" ht="17" customHeight="1">
      <c r="A16" s="19" t="n">
        <v>13</v>
      </c>
      <c r="B16" s="20" t="n">
        <v>6468033.152268981</v>
      </c>
      <c r="C16" s="20" t="n">
        <v>20690</v>
      </c>
      <c r="D16" s="21" t="n">
        <v>6199063.152268981</v>
      </c>
      <c r="E16" s="22" t="n">
        <v>2216654.162703792</v>
      </c>
      <c r="F16" s="22" t="n">
        <v>94531.29760543519</v>
      </c>
      <c r="G16" s="22" t="n">
        <v>9428245.711616181</v>
      </c>
      <c r="H16" s="22" t="n">
        <v>0</v>
      </c>
      <c r="I16" s="23" t="n">
        <v>13952978.13264597</v>
      </c>
      <c r="J16" s="24" t="n">
        <v>20690</v>
      </c>
      <c r="K16" s="24" t="n">
        <v>268970</v>
      </c>
      <c r="L16" s="25" t="n">
        <v>7753914.980376993</v>
      </c>
      <c r="M16" s="26" t="inlineStr">
        <is>
          <t>✓ Protégé</t>
        </is>
      </c>
    </row>
    <row r="17" ht="17" customHeight="1">
      <c r="A17" s="19" t="n">
        <v>14</v>
      </c>
      <c r="B17" s="27" t="n">
        <v>6597393.81531436</v>
      </c>
      <c r="C17" s="27" t="n">
        <v>20690</v>
      </c>
      <c r="D17" s="28" t="n">
        <v>6307733.81531436</v>
      </c>
      <c r="E17" s="34" t="n">
        <v>1936635.469491416</v>
      </c>
      <c r="F17" s="34" t="n">
        <v>83569.50436727033</v>
      </c>
      <c r="G17" s="34" t="n">
        <v>9899657.997196991</v>
      </c>
      <c r="H17" s="35" t="n">
        <v>4343.551713560086</v>
      </c>
      <c r="I17" s="36" t="n">
        <v>14465838.02519134</v>
      </c>
      <c r="J17" s="31" t="n">
        <v>16346.44828643991</v>
      </c>
      <c r="K17" s="31" t="n">
        <v>285316.4482864399</v>
      </c>
      <c r="L17" s="32" t="n">
        <v>8158104.209876975</v>
      </c>
      <c r="M17" s="33" t="inlineStr">
        <is>
          <t>⚠ IFI 4.3k€</t>
        </is>
      </c>
    </row>
    <row r="18" ht="17" customHeight="1">
      <c r="A18" s="19" t="n">
        <v>15</v>
      </c>
      <c r="B18" s="20" t="n">
        <v>6729341.691620647</v>
      </c>
      <c r="C18" s="20" t="n">
        <v>20690</v>
      </c>
      <c r="D18" s="21" t="n">
        <v>6418991.691620647</v>
      </c>
      <c r="E18" s="37" t="n">
        <v>1645208.382671186</v>
      </c>
      <c r="F18" s="37" t="n">
        <v>72161.11075941495</v>
      </c>
      <c r="G18" s="37" t="n">
        <v>10394640.89705684</v>
      </c>
      <c r="H18" s="35" t="n">
        <v>6383.541321301702</v>
      </c>
      <c r="I18" s="38" t="n">
        <v>15014224.14927676</v>
      </c>
      <c r="J18" s="24" t="n">
        <v>14306.4586786983</v>
      </c>
      <c r="K18" s="24" t="n">
        <v>299622.9069651382</v>
      </c>
      <c r="L18" s="25" t="n">
        <v>8595232.457656108</v>
      </c>
      <c r="M18" s="26" t="inlineStr">
        <is>
          <t>⚠ IFI 6.4k€</t>
        </is>
      </c>
    </row>
    <row r="19" ht="17" customHeight="1">
      <c r="A19" s="19" t="n">
        <v>16</v>
      </c>
      <c r="B19" s="27" t="n">
        <v>6863928.52545306</v>
      </c>
      <c r="C19" s="27" t="n">
        <v>20690</v>
      </c>
      <c r="D19" s="28" t="n">
        <v>6532888.52545306</v>
      </c>
      <c r="E19" s="34" t="n">
        <v>1341908.106685279</v>
      </c>
      <c r="F19" s="34" t="n">
        <v>60287.92159373926</v>
      </c>
      <c r="G19" s="34" t="n">
        <v>10914372.94190968</v>
      </c>
      <c r="H19" s="35" t="n">
        <v>8506.643253203049</v>
      </c>
      <c r="I19" s="36" t="n">
        <v>15599748.46311507</v>
      </c>
      <c r="J19" s="31" t="n">
        <v>12183.35674679695</v>
      </c>
      <c r="K19" s="31" t="n">
        <v>311806.2637119351</v>
      </c>
      <c r="L19" s="32" t="n">
        <v>9066859.937662009</v>
      </c>
      <c r="M19" s="33" t="inlineStr">
        <is>
          <t>⚠ IFI 8.5k€</t>
        </is>
      </c>
    </row>
    <row r="20" ht="17" customHeight="1">
      <c r="A20" s="19" t="n">
        <v>17</v>
      </c>
      <c r="B20" s="20" t="n">
        <v>7001207.095962121</v>
      </c>
      <c r="C20" s="20" t="n">
        <v>20690</v>
      </c>
      <c r="D20" s="21" t="n">
        <v>6649477.095962121</v>
      </c>
      <c r="E20" s="37" t="n">
        <v>1026250.909487709</v>
      </c>
      <c r="F20" s="37" t="n">
        <v>47931.0003820754</v>
      </c>
      <c r="G20" s="37" t="n">
        <v>11460091.58900517</v>
      </c>
      <c r="H20" s="35" t="n">
        <v>10716.24363358604</v>
      </c>
      <c r="I20" s="38" t="n">
        <v>16224098.43670395</v>
      </c>
      <c r="J20" s="24" t="n">
        <v>9973.75636641396</v>
      </c>
      <c r="K20" s="24" t="n">
        <v>321780.0200783491</v>
      </c>
      <c r="L20" s="25" t="n">
        <v>9574621.340741828</v>
      </c>
      <c r="M20" s="26" t="inlineStr">
        <is>
          <t>⚠ IFI 10.7k€</t>
        </is>
      </c>
    </row>
    <row r="21" ht="17" customHeight="1">
      <c r="A21" s="19" t="n">
        <v>18</v>
      </c>
      <c r="B21" s="27" t="n">
        <v>7141231.237881363</v>
      </c>
      <c r="C21" s="27" t="n">
        <v>20690</v>
      </c>
      <c r="D21" s="28" t="n">
        <v>6768811.237881363</v>
      </c>
      <c r="E21" s="34" t="n">
        <v>697733.351042573</v>
      </c>
      <c r="F21" s="34" t="n">
        <v>35070.63913451009</v>
      </c>
      <c r="G21" s="34" t="n">
        <v>12033096.16845543</v>
      </c>
      <c r="H21" s="35" t="n">
        <v>13712.66648957427</v>
      </c>
      <c r="I21" s="36" t="n">
        <v>16888343.85244936</v>
      </c>
      <c r="J21" s="31" t="n">
        <v>6977.333510425728</v>
      </c>
      <c r="K21" s="31" t="n">
        <v>328757.3535887748</v>
      </c>
      <c r="L21" s="32" t="n">
        <v>10119532.614568</v>
      </c>
      <c r="M21" s="33" t="inlineStr">
        <is>
          <t>⚠ IFI 13.7k€</t>
        </is>
      </c>
    </row>
    <row r="22" ht="17" customHeight="1">
      <c r="A22" s="19" t="n">
        <v>19</v>
      </c>
      <c r="B22" s="20" t="n">
        <v>7284055.86263899</v>
      </c>
      <c r="C22" s="20" t="n">
        <v>20690</v>
      </c>
      <c r="D22" s="21" t="n">
        <v>6890945.86263899</v>
      </c>
      <c r="E22" s="37" t="n">
        <v>355831.4803901402</v>
      </c>
      <c r="F22" s="37" t="n">
        <v>21686.32692721308</v>
      </c>
      <c r="G22" s="37" t="n">
        <v>12634750.9768782</v>
      </c>
      <c r="H22" s="35" t="n">
        <v>17131.6851960986</v>
      </c>
      <c r="I22" s="38" t="n">
        <v>17594005.27350646</v>
      </c>
      <c r="J22" s="24" t="n">
        <v>3558.314803901405</v>
      </c>
      <c r="K22" s="24" t="n">
        <v>332315.6683926762</v>
      </c>
      <c r="L22" s="25" t="n">
        <v>10703059.41086746</v>
      </c>
      <c r="M22" s="26" t="inlineStr">
        <is>
          <t>⚠ IFI 17.1k€</t>
        </is>
      </c>
    </row>
    <row r="23" ht="17" customHeight="1">
      <c r="A23" s="19" t="n">
        <v>20</v>
      </c>
      <c r="B23" s="27" t="n">
        <v>7429736.979891771</v>
      </c>
      <c r="C23" s="27" t="n">
        <v>20690</v>
      </c>
      <c r="D23" s="28" t="n">
        <v>7015936.979891771</v>
      </c>
      <c r="E23" s="34" t="n">
        <v>1.651605998631567e-07</v>
      </c>
      <c r="F23" s="34" t="n">
        <v>7756.717189670634</v>
      </c>
      <c r="G23" s="34" t="n">
        <v>13266488.52572211</v>
      </c>
      <c r="H23" s="35" t="n">
        <v>20689.99999999835</v>
      </c>
      <c r="I23" s="36" t="n">
        <v>18342977.22241348</v>
      </c>
      <c r="J23" s="31" t="n">
        <v>1.651642378419638e-09</v>
      </c>
      <c r="K23" s="31" t="n">
        <v>332315.6683926778</v>
      </c>
      <c r="L23" s="32" t="n">
        <v>11327040.24252171</v>
      </c>
      <c r="M23" s="33" t="inlineStr">
        <is>
          <t>⚠ IFI 20.7k€</t>
        </is>
      </c>
    </row>
    <row r="24" ht="22" customHeight="1">
      <c r="A24" s="39" t="inlineStr">
        <is>
          <t>TOTAL / AN 20</t>
        </is>
      </c>
      <c r="B24" s="40" t="n">
        <v>7429736.979891771</v>
      </c>
      <c r="C24" s="40" t="n">
        <v>413800</v>
      </c>
      <c r="D24" s="40" t="n">
        <v>7015936.979891771</v>
      </c>
      <c r="E24" s="40" t="n">
        <v>0</v>
      </c>
      <c r="F24" s="40" t="n">
        <v>2271763.95159308</v>
      </c>
      <c r="G24" s="40" t="n">
        <v>13266488.52572211</v>
      </c>
      <c r="H24" s="40" t="n">
        <v>81484.33160732209</v>
      </c>
      <c r="I24" s="40" t="n">
        <v>18342977.22241348</v>
      </c>
      <c r="J24" s="40" t="n">
        <v>332315.6683926779</v>
      </c>
      <c r="K24" s="40" t="n">
        <v>332315.6683926779</v>
      </c>
      <c r="L24" s="40" t="n">
        <v>11327040.24252171</v>
      </c>
      <c r="M24" s="39" t="inlineStr">
        <is>
          <t>20 ans</t>
        </is>
      </c>
    </row>
    <row r="26" ht="28" customHeight="1">
      <c r="A26" s="41" t="inlineStr">
        <is>
          <t>Pat. net cumulé = valeur maison − IFI cumulée (A) | maison + placement − intérêts cumulés − IFI cumulée (B)  •  Placement = 5M€ × (1,05)^N, jamais touché, aucun double-comptage  •  CRD = capital restant dû (hors intérêts, seul montant déductible IFI — Bofip)  •  ⚠ Orange : IFI scénario B déclenchée (CRD &lt; 2 200 000 €)</t>
        </is>
      </c>
    </row>
  </sheetData>
  <mergeCells count="6">
    <mergeCell ref="A1:M1"/>
    <mergeCell ref="E2:I2"/>
    <mergeCell ref="A2"/>
    <mergeCell ref="A26:M26"/>
    <mergeCell ref="J2:M2"/>
    <mergeCell ref="B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13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 ht="30" customHeight="1">
      <c r="A1" s="1" t="inlineStr">
        <is>
          <t>ANNEXE — FORMULES ET DÉTAIL DES CALCULS</t>
        </is>
      </c>
    </row>
    <row r="3" ht="38" customHeight="1">
      <c r="A3" s="42" t="inlineStr">
        <is>
          <t>FORMULE / CONCEPT</t>
        </is>
      </c>
      <c r="B3" s="42" t="inlineStr">
        <is>
          <t>EXPRESSION MATHÉMATIQUE</t>
        </is>
      </c>
      <c r="C3" s="42" t="inlineStr">
        <is>
          <t>EXPLICATION PÉDAGOGIQUE</t>
        </is>
      </c>
    </row>
    <row r="4" ht="38" customHeight="1">
      <c r="A4" s="43" t="inlineStr">
        <is>
          <t>Mensualité (méthode mensuelle)</t>
        </is>
      </c>
      <c r="B4" s="44">
        <f> 5,000,000 × (4%÷12) ÷ [1−(1+4%÷12)^−240]</f>
        <v/>
      </c>
      <c r="C4" s="45">
        <f> 30,299 €/mois. Calculé sur 240 mois (pas 20 ans) → plus précis car le prêt est mensuel.</f>
        <v/>
      </c>
    </row>
    <row r="5" ht="38" customHeight="1">
      <c r="A5" s="43" t="inlineStr">
        <is>
          <t>Capital Restant Dû (CRD)</t>
        </is>
      </c>
      <c r="B5" s="44" t="inlineStr">
        <is>
          <t>CRD fin mois = CRD début − (mensualité − intérêts du mois)</t>
        </is>
      </c>
      <c r="C5" s="45" t="inlineStr">
        <is>
          <t>Les intérêts = CRD × 4%/12. Ne s'ajoutent PAS au CRD. Chaque mois, le capital diminue.</t>
        </is>
      </c>
    </row>
    <row r="6" ht="38" customHeight="1">
      <c r="A6" s="43" t="inlineStr">
        <is>
          <t>Intérêts annuels</t>
        </is>
      </c>
      <c r="B6" s="44">
        <f> Σ(CRD début de chaque mois × 4%/12) sur 12 mois</f>
        <v/>
      </c>
      <c r="C6" s="45" t="inlineStr">
        <is>
          <t>An 1 : 196,967 € (pas 200 000 € car le capital décroît mois par mois). An 20 : 7,757 €.</t>
        </is>
      </c>
    </row>
    <row r="7" ht="38" customHeight="1">
      <c r="A7" s="43" t="inlineStr">
        <is>
          <t>Déduction IFI (Bofip)</t>
        </is>
      </c>
      <c r="B7" s="44" t="inlineStr">
        <is>
          <t>Base IFI nette = 3 500 000 € − CRD fin d'année</t>
        </is>
      </c>
      <c r="C7" s="45" t="inlineStr">
        <is>
          <t>Seul le CAPITAL restant est déductible. Les intérêts ne le sont pas. Base fixe (non revalorisée).</t>
        </is>
      </c>
    </row>
    <row r="8" ht="38" customHeight="1">
      <c r="A8" s="43" t="inlineStr">
        <is>
          <t>Déclenchement IFI scénario B</t>
        </is>
      </c>
      <c r="B8" s="44" t="inlineStr">
        <is>
          <t>IFI due si base nette ≥ 1 300 000 €  ↔  CRD &lt; 2 200 000 €</t>
        </is>
      </c>
      <c r="C8" s="45" t="inlineStr">
        <is>
          <t>3 500 000 − 1 300 000 = 2 200 000 €. Franchi à l'an 14.</t>
        </is>
      </c>
    </row>
    <row r="9" ht="38" customHeight="1">
      <c r="A9" s="43" t="inlineStr">
        <is>
          <t>IFI calculée (barème progressif)</t>
        </is>
      </c>
      <c r="B9" s="44" t="inlineStr">
        <is>
          <t>Si base ≥ 1,3M€ : IFI = 0,5%×(base−800k) + 0,7%×(base−1,3M) + ...</t>
        </is>
      </c>
      <c r="C9" s="45" t="inlineStr">
        <is>
          <t>Assiette rétroactive à 800 000 € dès que le seuil 1 300 000 € est atteint.</t>
        </is>
      </c>
    </row>
    <row r="10" ht="38" customHeight="1">
      <c r="A10" s="43" t="inlineStr">
        <is>
          <t>Croissance du placement</t>
        </is>
      </c>
      <c r="B10" s="44" t="inlineStr">
        <is>
          <t>Valeur(N) = 5,000,000 × (1,05)^N</t>
        </is>
      </c>
      <c r="C10" s="45" t="inlineStr">
        <is>
          <t>An 20 : 13,266,489 €. C'est le moteur principal. Le capital n'est jamais touché.</t>
        </is>
      </c>
    </row>
    <row r="11" ht="38" customHeight="1">
      <c r="A11" s="43" t="inlineStr">
        <is>
          <t>⚠ Levier net = PAS un flux séparé</t>
        </is>
      </c>
      <c r="B11" s="44" t="inlineStr">
        <is>
          <t>Rdt placement − Intérêts = déjà dans la croissance du 5M</t>
        </is>
      </c>
      <c r="C11" s="45" t="inlineStr">
        <is>
          <t>Erreur fréquente : réinvestir ce surplus séparément crée un double-comptage. On ne le fait pas.</t>
        </is>
      </c>
    </row>
    <row r="12" ht="38" customHeight="1">
      <c r="A12" s="43" t="inlineStr">
        <is>
          <t>Économie IFI (seul vrai flux additionnel)</t>
        </is>
      </c>
      <c r="B12" s="44">
        <f> IFI(A) − IFI(B)  →  ~20 690 €/an les 13 premières années</f>
        <v/>
      </c>
      <c r="C12" s="45" t="inlineStr">
        <is>
          <t>Ce cash est réellement économisé vs scénario A. Affiché en cumul brut (sans recapitalisation).</t>
        </is>
      </c>
    </row>
    <row r="13" ht="38" customHeight="1">
      <c r="A13" s="43" t="inlineStr">
        <is>
          <t>Patrimoine net A</t>
        </is>
      </c>
      <c r="B13" s="44">
        <f> Valeur maison(N) − Σ IFI(A) payée depuis an 1</f>
        <v/>
      </c>
      <c r="C13" s="45" t="inlineStr">
        <is>
          <t>Pas de patrimoine financier en scénario A (5M€ immobilisés dans la maison).</t>
        </is>
      </c>
    </row>
    <row r="14" ht="38" customHeight="1">
      <c r="A14" s="43" t="inlineStr">
        <is>
          <t>Patrimoine net B</t>
        </is>
      </c>
      <c r="B14" s="44">
        <f> Valeur maison(N) + Placement(N) − Σ intérêts − Σ IFI(B)</f>
        <v/>
      </c>
      <c r="C14" s="45" t="inlineStr">
        <is>
          <t>Les charges cumulatives (intérêts, IFI) sont déduites au fil des années.</t>
        </is>
      </c>
    </row>
    <row r="15" ht="38" customHeight="1">
      <c r="A15" s="43" t="inlineStr">
        <is>
          <t>Avantage net B vs A</t>
        </is>
      </c>
      <c r="B15" s="44">
        <f> Pat.B − Pat.A  →  +11.33M€ à 20 ans</f>
        <v/>
      </c>
      <c r="C15" s="45">
        <f> Croissance placement (8.27M€) − Intérêts (2.27M€) + Éco.IFI (332k€)</f>
        <v/>
      </c>
    </row>
    <row r="17" ht="24" customHeight="1">
      <c r="A17" s="46" t="inlineStr">
        <is>
          <t>TABLEAU DE VÉRIFICATION NUMÉRIQUE — Toutes les valeurs intermédiaires année par année</t>
        </is>
      </c>
    </row>
    <row r="18" ht="32" customHeight="1">
      <c r="A18" s="15" t="inlineStr">
        <is>
          <t>An</t>
        </is>
      </c>
      <c r="B18" s="15" t="inlineStr">
        <is>
          <t>CRD début</t>
        </is>
      </c>
      <c r="C18" s="15" t="inlineStr">
        <is>
          <t>Intérêts</t>
        </is>
      </c>
      <c r="D18" s="15" t="inlineStr">
        <is>
          <t>Capital remb.</t>
        </is>
      </c>
      <c r="E18" s="15" t="inlineStr">
        <is>
          <t>CRD fin</t>
        </is>
      </c>
      <c r="F18" s="15" t="inlineStr">
        <is>
          <t>Rdt placement</t>
        </is>
      </c>
      <c r="G18" s="15" t="inlineStr">
        <is>
          <t>IFI (A)</t>
        </is>
      </c>
      <c r="H18" s="15" t="inlineStr">
        <is>
          <t>IFI (B)</t>
        </is>
      </c>
      <c r="I18" s="15" t="inlineStr">
        <is>
          <t>Éco. IFI</t>
        </is>
      </c>
      <c r="J18" s="15" t="inlineStr">
        <is>
          <t>Valeur maison</t>
        </is>
      </c>
      <c r="K18" s="15" t="inlineStr">
        <is>
          <t>Placement (val)</t>
        </is>
      </c>
      <c r="L18" s="15" t="inlineStr">
        <is>
          <t>Pat. net A</t>
        </is>
      </c>
      <c r="M18" s="15" t="inlineStr">
        <is>
          <t>Pat. net B</t>
        </is>
      </c>
    </row>
    <row r="19" ht="17" customHeight="1">
      <c r="A19" s="19" t="n">
        <v>1</v>
      </c>
      <c r="B19" s="47" t="n">
        <v>5000000</v>
      </c>
      <c r="C19" s="47" t="n">
        <v>196967.3082580916</v>
      </c>
      <c r="D19" s="47" t="n">
        <v>166620.889321554</v>
      </c>
      <c r="E19" s="47" t="n">
        <v>4833379.110678445</v>
      </c>
      <c r="F19" s="47" t="n">
        <v>5250000</v>
      </c>
      <c r="G19" s="47" t="n">
        <v>20690</v>
      </c>
      <c r="H19" s="47" t="n">
        <v>0</v>
      </c>
      <c r="I19" s="47" t="n">
        <v>20690</v>
      </c>
      <c r="J19" s="47" t="n">
        <v>5100000</v>
      </c>
      <c r="K19" s="47" t="n">
        <v>5250000</v>
      </c>
      <c r="L19" s="47" t="n">
        <v>5079310</v>
      </c>
      <c r="M19" s="47" t="n">
        <v>10153032.69174191</v>
      </c>
    </row>
    <row r="20" ht="17" customHeight="1">
      <c r="A20" s="19" t="n">
        <v>2</v>
      </c>
      <c r="B20" s="48" t="n">
        <v>4833379.110678445</v>
      </c>
      <c r="C20" s="48" t="n">
        <v>190178.916144464</v>
      </c>
      <c r="D20" s="48" t="n">
        <v>173409.2814351818</v>
      </c>
      <c r="E20" s="48" t="n">
        <v>4659969.829243262</v>
      </c>
      <c r="F20" s="48" t="n">
        <v>5512500</v>
      </c>
      <c r="G20" s="48" t="n">
        <v>20690</v>
      </c>
      <c r="H20" s="48" t="n">
        <v>0</v>
      </c>
      <c r="I20" s="48" t="n">
        <v>20690</v>
      </c>
      <c r="J20" s="48" t="n">
        <v>5202000</v>
      </c>
      <c r="K20" s="48" t="n">
        <v>5512500</v>
      </c>
      <c r="L20" s="48" t="n">
        <v>5160620</v>
      </c>
      <c r="M20" s="48" t="n">
        <v>10327353.77559744</v>
      </c>
    </row>
    <row r="21" ht="17" customHeight="1">
      <c r="A21" s="19" t="n">
        <v>3</v>
      </c>
      <c r="B21" s="47" t="n">
        <v>4659969.829243262</v>
      </c>
      <c r="C21" s="47" t="n">
        <v>183113.9544621826</v>
      </c>
      <c r="D21" s="47" t="n">
        <v>180474.2431174631</v>
      </c>
      <c r="E21" s="47" t="n">
        <v>4479495.586125799</v>
      </c>
      <c r="F21" s="47" t="n">
        <v>5788125</v>
      </c>
      <c r="G21" s="47" t="n">
        <v>20690</v>
      </c>
      <c r="H21" s="47" t="n">
        <v>0</v>
      </c>
      <c r="I21" s="47" t="n">
        <v>20690</v>
      </c>
      <c r="J21" s="47" t="n">
        <v>5306040</v>
      </c>
      <c r="K21" s="47" t="n">
        <v>5788125</v>
      </c>
      <c r="L21" s="47" t="n">
        <v>5243970</v>
      </c>
      <c r="M21" s="47" t="n">
        <v>10523904.82113526</v>
      </c>
    </row>
    <row r="22" ht="17" customHeight="1">
      <c r="A22" s="19" t="n">
        <v>4</v>
      </c>
      <c r="B22" s="48" t="n">
        <v>4479495.586125799</v>
      </c>
      <c r="C22" s="48" t="n">
        <v>175761.155340296</v>
      </c>
      <c r="D22" s="48" t="n">
        <v>187827.0422393497</v>
      </c>
      <c r="E22" s="48" t="n">
        <v>4291668.54388645</v>
      </c>
      <c r="F22" s="48" t="n">
        <v>6077531.25</v>
      </c>
      <c r="G22" s="48" t="n">
        <v>20690</v>
      </c>
      <c r="H22" s="48" t="n">
        <v>0</v>
      </c>
      <c r="I22" s="48" t="n">
        <v>20690</v>
      </c>
      <c r="J22" s="48" t="n">
        <v>5412160.8</v>
      </c>
      <c r="K22" s="48" t="n">
        <v>6077531.25</v>
      </c>
      <c r="L22" s="48" t="n">
        <v>5329400.8</v>
      </c>
      <c r="M22" s="48" t="n">
        <v>10743670.71579497</v>
      </c>
    </row>
    <row r="23" ht="17" customHeight="1">
      <c r="A23" s="19" t="n">
        <v>5</v>
      </c>
      <c r="B23" s="47" t="n">
        <v>4291668.54388645</v>
      </c>
      <c r="C23" s="47" t="n">
        <v>168108.7918374043</v>
      </c>
      <c r="D23" s="47" t="n">
        <v>195479.4057422414</v>
      </c>
      <c r="E23" s="47" t="n">
        <v>4096189.138144208</v>
      </c>
      <c r="F23" s="47" t="n">
        <v>6381407.8125</v>
      </c>
      <c r="G23" s="47" t="n">
        <v>20690</v>
      </c>
      <c r="H23" s="47" t="n">
        <v>0</v>
      </c>
      <c r="I23" s="47" t="n">
        <v>20690</v>
      </c>
      <c r="J23" s="47" t="n">
        <v>5520404.016</v>
      </c>
      <c r="K23" s="47" t="n">
        <v>6381407.8125</v>
      </c>
      <c r="L23" s="47" t="n">
        <v>5416954.016</v>
      </c>
      <c r="M23" s="47" t="n">
        <v>10987681.70245756</v>
      </c>
    </row>
    <row r="24" ht="17" customHeight="1">
      <c r="A24" s="19" t="n">
        <v>6</v>
      </c>
      <c r="B24" s="48" t="n">
        <v>4096189.138144208</v>
      </c>
      <c r="C24" s="48" t="n">
        <v>160144.6592384219</v>
      </c>
      <c r="D24" s="48" t="n">
        <v>203443.5383412239</v>
      </c>
      <c r="E24" s="48" t="n">
        <v>3892745.599802984</v>
      </c>
      <c r="F24" s="48" t="n">
        <v>6700478.203125</v>
      </c>
      <c r="G24" s="48" t="n">
        <v>20690</v>
      </c>
      <c r="H24" s="48" t="n">
        <v>0</v>
      </c>
      <c r="I24" s="48" t="n">
        <v>20690</v>
      </c>
      <c r="J24" s="48" t="n">
        <v>5630812.09632</v>
      </c>
      <c r="K24" s="48" t="n">
        <v>6700478.203125</v>
      </c>
      <c r="L24" s="48" t="n">
        <v>5506672.09632</v>
      </c>
      <c r="M24" s="48" t="n">
        <v>11257015.51416414</v>
      </c>
    </row>
    <row r="25" ht="17" customHeight="1">
      <c r="A25" s="19" t="n">
        <v>7</v>
      </c>
      <c r="B25" s="47" t="n">
        <v>3892745.599802984</v>
      </c>
      <c r="C25" s="47" t="n">
        <v>151856.055589339</v>
      </c>
      <c r="D25" s="47" t="n">
        <v>211732.1419903067</v>
      </c>
      <c r="E25" s="47" t="n">
        <v>3681013.457812679</v>
      </c>
      <c r="F25" s="47" t="n">
        <v>7035502.11328125</v>
      </c>
      <c r="G25" s="47" t="n">
        <v>20690</v>
      </c>
      <c r="H25" s="47" t="n">
        <v>0</v>
      </c>
      <c r="I25" s="47" t="n">
        <v>20690</v>
      </c>
      <c r="J25" s="47" t="n">
        <v>5743428.3382464</v>
      </c>
      <c r="K25" s="47" t="n">
        <v>7035502.11328125</v>
      </c>
      <c r="L25" s="47" t="n">
        <v>5598598.3382464</v>
      </c>
      <c r="M25" s="47" t="n">
        <v>11552799.61065745</v>
      </c>
    </row>
    <row r="26" ht="17" customHeight="1">
      <c r="A26" s="19" t="n">
        <v>8</v>
      </c>
      <c r="B26" s="48" t="n">
        <v>3681013.457812679</v>
      </c>
      <c r="C26" s="48" t="n">
        <v>143229.761438942</v>
      </c>
      <c r="D26" s="48" t="n">
        <v>220358.4361407037</v>
      </c>
      <c r="E26" s="48" t="n">
        <v>3460655.021671975</v>
      </c>
      <c r="F26" s="48" t="n">
        <v>7387277.218945313</v>
      </c>
      <c r="G26" s="48" t="n">
        <v>20690</v>
      </c>
      <c r="H26" s="48" t="n">
        <v>0</v>
      </c>
      <c r="I26" s="48" t="n">
        <v>20690</v>
      </c>
      <c r="J26" s="48" t="n">
        <v>5858296.905011328</v>
      </c>
      <c r="K26" s="48" t="n">
        <v>7387277.218945313</v>
      </c>
      <c r="L26" s="48" t="n">
        <v>5692776.905011328</v>
      </c>
      <c r="M26" s="48" t="n">
        <v>11876213.5216475</v>
      </c>
    </row>
    <row r="27" ht="17" customHeight="1">
      <c r="A27" s="19" t="n">
        <v>9</v>
      </c>
      <c r="B27" s="47" t="n">
        <v>3460655.021671975</v>
      </c>
      <c r="C27" s="47" t="n">
        <v>134252.0187551778</v>
      </c>
      <c r="D27" s="47" t="n">
        <v>229336.1788244679</v>
      </c>
      <c r="E27" s="47" t="n">
        <v>3231318.842847507</v>
      </c>
      <c r="F27" s="47" t="n">
        <v>7756641.079892579</v>
      </c>
      <c r="G27" s="47" t="n">
        <v>20690</v>
      </c>
      <c r="H27" s="47" t="n">
        <v>0</v>
      </c>
      <c r="I27" s="47" t="n">
        <v>20690</v>
      </c>
      <c r="J27" s="47" t="n">
        <v>5975462.843111554</v>
      </c>
      <c r="K27" s="47" t="n">
        <v>7756641.079892579</v>
      </c>
      <c r="L27" s="47" t="n">
        <v>5789252.843111554</v>
      </c>
      <c r="M27" s="47" t="n">
        <v>12228491.30193982</v>
      </c>
    </row>
    <row r="28" ht="17" customHeight="1">
      <c r="A28" s="19" t="n">
        <v>10</v>
      </c>
      <c r="B28" s="48" t="n">
        <v>3231318.842847507</v>
      </c>
      <c r="C28" s="48" t="n">
        <v>124908.5089825401</v>
      </c>
      <c r="D28" s="48" t="n">
        <v>238679.6885971056</v>
      </c>
      <c r="E28" s="48" t="n">
        <v>2992639.154250401</v>
      </c>
      <c r="F28" s="48" t="n">
        <v>8144473.133887209</v>
      </c>
      <c r="G28" s="48" t="n">
        <v>20690</v>
      </c>
      <c r="H28" s="48" t="n">
        <v>0</v>
      </c>
      <c r="I28" s="48" t="n">
        <v>20690</v>
      </c>
      <c r="J28" s="48" t="n">
        <v>6094972.099973786</v>
      </c>
      <c r="K28" s="48" t="n">
        <v>8144473.133887209</v>
      </c>
      <c r="L28" s="48" t="n">
        <v>5888072.099973786</v>
      </c>
      <c r="M28" s="48" t="n">
        <v>12610924.10381414</v>
      </c>
    </row>
    <row r="29" ht="17" customHeight="1">
      <c r="A29" s="19" t="n">
        <v>11</v>
      </c>
      <c r="B29" s="47" t="n">
        <v>2992639.154250401</v>
      </c>
      <c r="C29" s="47" t="n">
        <v>115184.3302054791</v>
      </c>
      <c r="D29" s="47" t="n">
        <v>248403.8673741666</v>
      </c>
      <c r="E29" s="47" t="n">
        <v>2744235.286876234</v>
      </c>
      <c r="F29" s="47" t="n">
        <v>8551696.790581569</v>
      </c>
      <c r="G29" s="47" t="n">
        <v>20690</v>
      </c>
      <c r="H29" s="47" t="n">
        <v>0</v>
      </c>
      <c r="I29" s="47" t="n">
        <v>20690</v>
      </c>
      <c r="J29" s="47" t="n">
        <v>6216871.541973261</v>
      </c>
      <c r="K29" s="47" t="n">
        <v>8551696.790581569</v>
      </c>
      <c r="L29" s="47" t="n">
        <v>5989281.541973261</v>
      </c>
      <c r="M29" s="47" t="n">
        <v>13024862.87230249</v>
      </c>
    </row>
    <row r="30" ht="17" customHeight="1">
      <c r="A30" s="19" t="n">
        <v>12</v>
      </c>
      <c r="B30" s="48" t="n">
        <v>2744235.286876234</v>
      </c>
      <c r="C30" s="48" t="n">
        <v>105063.9733814128</v>
      </c>
      <c r="D30" s="48" t="n">
        <v>258524.2241982329</v>
      </c>
      <c r="E30" s="48" t="n">
        <v>2485711.062678002</v>
      </c>
      <c r="F30" s="48" t="n">
        <v>8979281.630110648</v>
      </c>
      <c r="G30" s="48" t="n">
        <v>20690</v>
      </c>
      <c r="H30" s="48" t="n">
        <v>0</v>
      </c>
      <c r="I30" s="48" t="n">
        <v>20690</v>
      </c>
      <c r="J30" s="48" t="n">
        <v>6341208.972812726</v>
      </c>
      <c r="K30" s="48" t="n">
        <v>8979281.630110648</v>
      </c>
      <c r="L30" s="48" t="n">
        <v>6092928.972812726</v>
      </c>
      <c r="M30" s="48" t="n">
        <v>13471721.16928962</v>
      </c>
    </row>
    <row r="31" ht="17" customHeight="1">
      <c r="A31" s="19" t="n">
        <v>13</v>
      </c>
      <c r="B31" s="47" t="n">
        <v>2485711.062678002</v>
      </c>
      <c r="C31" s="47" t="n">
        <v>94531.29760543519</v>
      </c>
      <c r="D31" s="47" t="n">
        <v>269056.8999742105</v>
      </c>
      <c r="E31" s="47" t="n">
        <v>2216654.162703792</v>
      </c>
      <c r="F31" s="47" t="n">
        <v>9428245.711616181</v>
      </c>
      <c r="G31" s="47" t="n">
        <v>20690</v>
      </c>
      <c r="H31" s="47" t="n">
        <v>0</v>
      </c>
      <c r="I31" s="47" t="n">
        <v>20690</v>
      </c>
      <c r="J31" s="47" t="n">
        <v>6468033.152268981</v>
      </c>
      <c r="K31" s="47" t="n">
        <v>9428245.711616181</v>
      </c>
      <c r="L31" s="47" t="n">
        <v>6199063.152268981</v>
      </c>
      <c r="M31" s="47" t="n">
        <v>13952978.13264597</v>
      </c>
    </row>
    <row r="32" ht="17" customHeight="1">
      <c r="A32" s="19" t="n">
        <v>14</v>
      </c>
      <c r="B32" s="48" t="n">
        <v>2216654.162703792</v>
      </c>
      <c r="C32" s="48" t="n">
        <v>83569.50436727033</v>
      </c>
      <c r="D32" s="48" t="n">
        <v>280018.6932123754</v>
      </c>
      <c r="E32" s="48" t="n">
        <v>1936635.469491416</v>
      </c>
      <c r="F32" s="48" t="n">
        <v>9899657.997196991</v>
      </c>
      <c r="G32" s="48" t="n">
        <v>20690</v>
      </c>
      <c r="H32" s="35" t="n">
        <v>4343.551713560086</v>
      </c>
      <c r="I32" s="48" t="n">
        <v>16346.44828643991</v>
      </c>
      <c r="J32" s="48" t="n">
        <v>6597393.81531436</v>
      </c>
      <c r="K32" s="48" t="n">
        <v>9899657.997196991</v>
      </c>
      <c r="L32" s="48" t="n">
        <v>6307733.81531436</v>
      </c>
      <c r="M32" s="48" t="n">
        <v>14465838.02519134</v>
      </c>
    </row>
    <row r="33" ht="17" customHeight="1">
      <c r="A33" s="19" t="n">
        <v>15</v>
      </c>
      <c r="B33" s="47" t="n">
        <v>1936635.469491416</v>
      </c>
      <c r="C33" s="47" t="n">
        <v>72161.11075941495</v>
      </c>
      <c r="D33" s="47" t="n">
        <v>291427.0868202308</v>
      </c>
      <c r="E33" s="47" t="n">
        <v>1645208.382671186</v>
      </c>
      <c r="F33" s="47" t="n">
        <v>10394640.89705684</v>
      </c>
      <c r="G33" s="47" t="n">
        <v>20690</v>
      </c>
      <c r="H33" s="35" t="n">
        <v>6383.541321301702</v>
      </c>
      <c r="I33" s="47" t="n">
        <v>14306.4586786983</v>
      </c>
      <c r="J33" s="47" t="n">
        <v>6729341.691620647</v>
      </c>
      <c r="K33" s="47" t="n">
        <v>10394640.89705684</v>
      </c>
      <c r="L33" s="47" t="n">
        <v>6418991.691620647</v>
      </c>
      <c r="M33" s="47" t="n">
        <v>15014224.14927676</v>
      </c>
    </row>
    <row r="34" ht="17" customHeight="1">
      <c r="A34" s="19" t="n">
        <v>16</v>
      </c>
      <c r="B34" s="48" t="n">
        <v>1645208.382671186</v>
      </c>
      <c r="C34" s="48" t="n">
        <v>60287.92159373926</v>
      </c>
      <c r="D34" s="48" t="n">
        <v>303300.2759859065</v>
      </c>
      <c r="E34" s="48" t="n">
        <v>1341908.106685279</v>
      </c>
      <c r="F34" s="48" t="n">
        <v>10914372.94190968</v>
      </c>
      <c r="G34" s="48" t="n">
        <v>20690</v>
      </c>
      <c r="H34" s="35" t="n">
        <v>8506.643253203049</v>
      </c>
      <c r="I34" s="48" t="n">
        <v>12183.35674679695</v>
      </c>
      <c r="J34" s="48" t="n">
        <v>6863928.52545306</v>
      </c>
      <c r="K34" s="48" t="n">
        <v>10914372.94190968</v>
      </c>
      <c r="L34" s="48" t="n">
        <v>6532888.52545306</v>
      </c>
      <c r="M34" s="48" t="n">
        <v>15599748.46311507</v>
      </c>
    </row>
    <row r="35" ht="17" customHeight="1">
      <c r="A35" s="19" t="n">
        <v>17</v>
      </c>
      <c r="B35" s="47" t="n">
        <v>1341908.106685279</v>
      </c>
      <c r="C35" s="47" t="n">
        <v>47931.0003820754</v>
      </c>
      <c r="D35" s="47" t="n">
        <v>315657.1971975703</v>
      </c>
      <c r="E35" s="47" t="n">
        <v>1026250.909487709</v>
      </c>
      <c r="F35" s="47" t="n">
        <v>11460091.58900517</v>
      </c>
      <c r="G35" s="47" t="n">
        <v>20690</v>
      </c>
      <c r="H35" s="35" t="n">
        <v>10716.24363358604</v>
      </c>
      <c r="I35" s="47" t="n">
        <v>9973.75636641396</v>
      </c>
      <c r="J35" s="47" t="n">
        <v>7001207.095962121</v>
      </c>
      <c r="K35" s="47" t="n">
        <v>11460091.58900517</v>
      </c>
      <c r="L35" s="47" t="n">
        <v>6649477.095962121</v>
      </c>
      <c r="M35" s="47" t="n">
        <v>16224098.43670395</v>
      </c>
    </row>
    <row r="36" ht="17" customHeight="1">
      <c r="A36" s="19" t="n">
        <v>18</v>
      </c>
      <c r="B36" s="48" t="n">
        <v>1026250.909487709</v>
      </c>
      <c r="C36" s="48" t="n">
        <v>35070.63913451009</v>
      </c>
      <c r="D36" s="48" t="n">
        <v>328517.5584451356</v>
      </c>
      <c r="E36" s="48" t="n">
        <v>697733.351042573</v>
      </c>
      <c r="F36" s="48" t="n">
        <v>12033096.16845543</v>
      </c>
      <c r="G36" s="48" t="n">
        <v>20690</v>
      </c>
      <c r="H36" s="35" t="n">
        <v>13712.66648957427</v>
      </c>
      <c r="I36" s="48" t="n">
        <v>6977.333510425728</v>
      </c>
      <c r="J36" s="48" t="n">
        <v>7141231.237881363</v>
      </c>
      <c r="K36" s="48" t="n">
        <v>12033096.16845543</v>
      </c>
      <c r="L36" s="48" t="n">
        <v>6768811.237881363</v>
      </c>
      <c r="M36" s="48" t="n">
        <v>16888343.85244936</v>
      </c>
    </row>
    <row r="37" ht="17" customHeight="1">
      <c r="A37" s="19" t="n">
        <v>19</v>
      </c>
      <c r="B37" s="47" t="n">
        <v>697733.351042573</v>
      </c>
      <c r="C37" s="47" t="n">
        <v>21686.32692721308</v>
      </c>
      <c r="D37" s="47" t="n">
        <v>341901.8706524326</v>
      </c>
      <c r="E37" s="47" t="n">
        <v>355831.4803901402</v>
      </c>
      <c r="F37" s="47" t="n">
        <v>12634750.9768782</v>
      </c>
      <c r="G37" s="47" t="n">
        <v>20690</v>
      </c>
      <c r="H37" s="35" t="n">
        <v>17131.6851960986</v>
      </c>
      <c r="I37" s="47" t="n">
        <v>3558.314803901405</v>
      </c>
      <c r="J37" s="47" t="n">
        <v>7284055.86263899</v>
      </c>
      <c r="K37" s="47" t="n">
        <v>12634750.9768782</v>
      </c>
      <c r="L37" s="47" t="n">
        <v>6890945.86263899</v>
      </c>
      <c r="M37" s="47" t="n">
        <v>17594005.27350646</v>
      </c>
    </row>
    <row r="38" ht="17" customHeight="1">
      <c r="A38" s="19" t="n">
        <v>20</v>
      </c>
      <c r="B38" s="48" t="n">
        <v>355831.4803901402</v>
      </c>
      <c r="C38" s="48" t="n">
        <v>7756.717189670634</v>
      </c>
      <c r="D38" s="48" t="n">
        <v>355831.480389975</v>
      </c>
      <c r="E38" s="48" t="n">
        <v>1.651605998631567e-07</v>
      </c>
      <c r="F38" s="48" t="n">
        <v>13266488.52572211</v>
      </c>
      <c r="G38" s="48" t="n">
        <v>20690</v>
      </c>
      <c r="H38" s="35" t="n">
        <v>20689.99999999835</v>
      </c>
      <c r="I38" s="48" t="n">
        <v>1.651642378419638e-09</v>
      </c>
      <c r="J38" s="48" t="n">
        <v>7429736.979891771</v>
      </c>
      <c r="K38" s="48" t="n">
        <v>13266488.52572211</v>
      </c>
      <c r="L38" s="48" t="n">
        <v>7015936.979891771</v>
      </c>
      <c r="M38" s="48" t="n">
        <v>18342977.22241348</v>
      </c>
    </row>
  </sheetData>
  <mergeCells count="2">
    <mergeCell ref="A1:C1"/>
    <mergeCell ref="A17:M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2026-06-17T08:19:12Z</dcterms:created>
  <dcterms:modified xsi:type="dcterms:W3CDTF">2026-06-17T08:19:12Z</dcterms:modified>
</cp:coreProperties>
</file>