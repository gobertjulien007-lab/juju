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Tableau comparatif" sheetId="2" state="visible" r:id="rId2"/>
    <sheet name="Annexe — Calculs détaill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4748B"/>
      <sz val="9"/>
    </font>
    <font>
      <b val="1"/>
      <color rgb="00FFFFFF"/>
      <sz val="13"/>
    </font>
    <font>
      <b val="1"/>
      <color rgb="00FFFFFF"/>
      <sz val="9"/>
    </font>
    <font>
      <color rgb="00000000"/>
      <sz val="9"/>
    </font>
    <font>
      <i val="1"/>
      <color rgb="0064748B"/>
      <sz val="8"/>
    </font>
    <font>
      <b val="1"/>
      <color rgb="000F172A"/>
      <sz val="9"/>
    </font>
    <font>
      <color rgb="000F172A"/>
      <sz val="9"/>
    </font>
    <font>
      <color rgb="001D4ED8"/>
      <sz val="9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14532D"/>
      </patternFill>
    </fill>
    <fill>
      <patternFill patternType="solid">
        <fgColor rgb="007C3AED"/>
      </patternFill>
    </fill>
    <fill>
      <patternFill patternType="solid">
        <fgColor rgb="007F1D1D"/>
      </patternFill>
    </fill>
    <fill>
      <patternFill patternType="solid">
        <fgColor rgb="00F1F5F9"/>
      </patternFill>
    </fill>
    <fill>
      <patternFill patternType="solid">
        <fgColor rgb="00FEF9F9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FF7ED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0F9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4" fontId="9" fillId="13" borderId="1" applyAlignment="1" pivotButton="0" quotePrefix="0" xfId="0">
      <alignment horizontal="center" vertical="center"/>
    </xf>
    <xf numFmtId="164" fontId="9" fillId="14" borderId="1" applyAlignment="1" pivotButton="0" quotePrefix="0" xfId="0">
      <alignment horizontal="center" vertical="center"/>
    </xf>
    <xf numFmtId="164" fontId="9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9" fillId="16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164" fontId="9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164" fontId="8" fillId="19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0" customWidth="1" min="3" max="3"/>
  </cols>
  <sheetData>
    <row r="1" ht="32" customHeight="1">
      <c r="A1" s="1" t="inlineStr">
        <is>
          <t>ÉTUDE COMPARATIVE IFI — HYPOTHÈSES DE TRAVAIL</t>
        </is>
      </c>
    </row>
    <row r="2" ht="18" customHeight="1">
      <c r="A2" s="2" t="inlineStr">
        <is>
          <t>Paramètre</t>
        </is>
      </c>
      <c r="B2" s="2" t="inlineStr">
        <is>
          <t>Valeur</t>
        </is>
      </c>
      <c r="C2" s="2" t="inlineStr">
        <is>
          <t>Note explicative</t>
        </is>
      </c>
    </row>
    <row r="3" ht="18" customHeight="1">
      <c r="A3" s="3" t="inlineStr">
        <is>
          <t>BIEN IMMOBILIER</t>
        </is>
      </c>
      <c r="B3" s="4" t="n"/>
      <c r="C3" s="5" t="n"/>
    </row>
    <row r="4" ht="18" customHeight="1">
      <c r="A4" s="6" t="inlineStr">
        <is>
          <t>Valeur d'achat</t>
        </is>
      </c>
      <c r="B4" s="7" t="n">
        <v>5000000</v>
      </c>
      <c r="C4" s="8" t="inlineStr">
        <is>
          <t>Résidence principale</t>
        </is>
      </c>
    </row>
    <row r="5" ht="18" customHeight="1">
      <c r="A5" s="6" t="inlineStr">
        <is>
          <t>Abattement résidence principale</t>
        </is>
      </c>
      <c r="B5" s="9" t="n">
        <v>0.3</v>
      </c>
      <c r="C5" s="8" t="inlineStr">
        <is>
          <t>30% prévu par la loi IFI</t>
        </is>
      </c>
    </row>
    <row r="6" ht="18" customHeight="1">
      <c r="A6" s="6" t="inlineStr">
        <is>
          <t>Base IFI (fixe)</t>
        </is>
      </c>
      <c r="B6" s="7" t="n">
        <v>3500000</v>
      </c>
      <c r="C6" s="8" t="inlineStr">
        <is>
          <t>Valeur d'achat × 70% — non revalorisée (choix pédagogique)</t>
        </is>
      </c>
    </row>
    <row r="7" ht="18" customHeight="1">
      <c r="A7" s="6" t="inlineStr">
        <is>
          <t>Revalorisation annuelle du bien</t>
        </is>
      </c>
      <c r="B7" s="9" t="n">
        <v>0.025</v>
      </c>
      <c r="C7" s="8" t="inlineStr">
        <is>
          <t>2,5%/an — intégrée uniquement dans le patrimoine total, pas dans l'IFI</t>
        </is>
      </c>
    </row>
    <row r="8" ht="18" customHeight="1">
      <c r="A8" s="3" t="inlineStr">
        <is>
          <t>EMPRUNT IMMOBILIER</t>
        </is>
      </c>
      <c r="B8" s="4" t="n"/>
      <c r="C8" s="5" t="n"/>
    </row>
    <row r="9" ht="18" customHeight="1">
      <c r="A9" s="6" t="inlineStr">
        <is>
          <t>Montant emprunté</t>
        </is>
      </c>
      <c r="B9" s="7" t="n">
        <v>5000000</v>
      </c>
      <c r="C9" s="8" t="inlineStr">
        <is>
          <t>100% du prix d'achat</t>
        </is>
      </c>
    </row>
    <row r="10" ht="18" customHeight="1">
      <c r="A10" s="6" t="inlineStr">
        <is>
          <t>Taux d'intérêt annuel fixe</t>
        </is>
      </c>
      <c r="B10" s="9" t="n">
        <v>0.04</v>
      </c>
      <c r="C10" s="8" t="inlineStr">
        <is>
          <t>Taux fixe sur toute la durée</t>
        </is>
      </c>
    </row>
    <row r="11" ht="18" customHeight="1">
      <c r="A11" s="6" t="inlineStr">
        <is>
          <t>Durée</t>
        </is>
      </c>
      <c r="B11" s="10" t="n">
        <v>20</v>
      </c>
      <c r="C11" s="8" t="inlineStr">
        <is>
          <t>années — prêt amortissable classique</t>
        </is>
      </c>
    </row>
    <row r="12" ht="18" customHeight="1">
      <c r="A12" s="6" t="inlineStr">
        <is>
          <t>Mensualité</t>
        </is>
      </c>
      <c r="B12" s="7" t="n">
        <v>30299</v>
      </c>
      <c r="C12" s="8" t="inlineStr">
        <is>
          <t>Capital + intérêts (calculé)</t>
        </is>
      </c>
    </row>
    <row r="13" ht="18" customHeight="1">
      <c r="A13" s="6" t="inlineStr">
        <is>
          <t>Annuité totale</t>
        </is>
      </c>
      <c r="B13" s="7" t="n">
        <v>363588</v>
      </c>
      <c r="C13" s="8" t="inlineStr">
        <is>
          <t>Payée depuis autres revenus du client → capital placé intouché</t>
        </is>
      </c>
    </row>
    <row r="14" ht="18" customHeight="1">
      <c r="A14" s="6" t="inlineStr">
        <is>
          <t>Service de la dette</t>
        </is>
      </c>
      <c r="B14" s="10" t="inlineStr">
        <is>
          <t>Autres revenus</t>
        </is>
      </c>
      <c r="C14" s="8" t="inlineStr">
        <is>
          <t>Le client n'utilise pas le placement pour rembourser</t>
        </is>
      </c>
    </row>
    <row r="15" ht="18" customHeight="1">
      <c r="A15" s="11" t="inlineStr">
        <is>
          <t>PLACEMENT FINANCIER</t>
        </is>
      </c>
      <c r="B15" s="4" t="n"/>
      <c r="C15" s="5" t="n"/>
    </row>
    <row r="16" ht="18" customHeight="1">
      <c r="A16" s="6" t="inlineStr">
        <is>
          <t>Capital initial placé</t>
        </is>
      </c>
      <c r="B16" s="7" t="n">
        <v>5000000</v>
      </c>
      <c r="C16" s="8" t="inlineStr">
        <is>
          <t>Équivalent du cash non dépensé en achat</t>
        </is>
      </c>
    </row>
    <row r="17" ht="18" customHeight="1">
      <c r="A17" s="6" t="inlineStr">
        <is>
          <t>Rendement annuel</t>
        </is>
      </c>
      <c r="B17" s="9" t="n">
        <v>0.05</v>
      </c>
      <c r="C17" s="8" t="inlineStr">
        <is>
          <t>5% composé — capitalisation en assurance-vie</t>
        </is>
      </c>
    </row>
    <row r="18" ht="18" customHeight="1">
      <c r="A18" s="6" t="inlineStr">
        <is>
          <t>Fiscalité sur le placement</t>
        </is>
      </c>
      <c r="B18" s="9" t="n">
        <v>0</v>
      </c>
      <c r="C18" s="8" t="inlineStr">
        <is>
          <t>0% pendant la capitalisation (enveloppe assurance-vie)</t>
        </is>
      </c>
    </row>
    <row r="19" ht="18" customHeight="1">
      <c r="A19" s="12" t="inlineStr">
        <is>
          <t>BARÈME IFI 2024</t>
        </is>
      </c>
      <c r="B19" s="4" t="n"/>
      <c r="C19" s="5" t="n"/>
    </row>
    <row r="20" ht="18" customHeight="1">
      <c r="A20" s="6" t="inlineStr">
        <is>
          <t xml:space="preserve">  800k€ → 1300.0k€</t>
        </is>
      </c>
      <c r="B20" s="10" t="inlineStr">
        <is>
          <t>0.50%</t>
        </is>
      </c>
      <c r="C20" s="8" t="inlineStr">
        <is>
          <t>Taux 0.50% appliqué de 800,000 € à 1,300,000 €</t>
        </is>
      </c>
    </row>
    <row r="21" ht="18" customHeight="1">
      <c r="A21" s="6" t="inlineStr">
        <is>
          <t xml:space="preserve">  1,300k€ → 2570.0k€</t>
        </is>
      </c>
      <c r="B21" s="10" t="inlineStr">
        <is>
          <t>0.70%</t>
        </is>
      </c>
      <c r="C21" s="8" t="inlineStr">
        <is>
          <t>Taux 0.70% appliqué de 1,300,000 € à 2,570,000 €</t>
        </is>
      </c>
    </row>
    <row r="22" ht="18" customHeight="1">
      <c r="A22" s="6" t="inlineStr">
        <is>
          <t xml:space="preserve">  2,570k€ → 5000.0k€</t>
        </is>
      </c>
      <c r="B22" s="10" t="inlineStr">
        <is>
          <t>1.00%</t>
        </is>
      </c>
      <c r="C22" s="8" t="inlineStr">
        <is>
          <t>Taux 1.00% appliqué de 2,570,000 € à 5,000,000 €</t>
        </is>
      </c>
    </row>
    <row r="23" ht="18" customHeight="1">
      <c r="A23" s="6" t="inlineStr">
        <is>
          <t xml:space="preserve">  5,000k€ → 10000.0k€</t>
        </is>
      </c>
      <c r="B23" s="10" t="inlineStr">
        <is>
          <t>1.25%</t>
        </is>
      </c>
      <c r="C23" s="8" t="inlineStr">
        <is>
          <t>Taux 1.25% appliqué de 5,000,000 € à 10,000,000 €</t>
        </is>
      </c>
    </row>
    <row r="24" ht="18" customHeight="1">
      <c r="A24" s="6" t="inlineStr">
        <is>
          <t xml:space="preserve">  10,000k€ → ∞k€</t>
        </is>
      </c>
      <c r="B24" s="10" t="inlineStr">
        <is>
          <t>1.50%</t>
        </is>
      </c>
      <c r="C24" s="8" t="inlineStr">
        <is>
          <t>Taux 1.50% appliqué de 10,000,000 € à ∞ €</t>
        </is>
      </c>
    </row>
    <row r="25" ht="18" customHeight="1">
      <c r="A25" s="6" t="inlineStr">
        <is>
          <t>Seuil de déclenchement</t>
        </is>
      </c>
      <c r="B25" s="7" t="n">
        <v>1300000</v>
      </c>
      <c r="C25" s="8" t="inlineStr">
        <is>
          <t>Si patrimoine net &lt; 1,3M€ → IFI = 0. Si ≥ 1,3M€ → IFI calculée dès 800k€ (effet rétroactif)</t>
        </is>
      </c>
    </row>
    <row r="26" ht="18" customHeight="1">
      <c r="A26" s="12" t="inlineStr">
        <is>
          <t>RÈGLE DE DÉDUCTION IFI (Bofip BOI-PAT-IFI-20-30-30)</t>
        </is>
      </c>
      <c r="B26" s="4" t="n"/>
      <c r="C26" s="5" t="n"/>
    </row>
    <row r="27" ht="18" customHeight="1">
      <c r="A27" s="6" t="inlineStr">
        <is>
          <t>Dette déductible</t>
        </is>
      </c>
      <c r="B27" s="10" t="inlineStr">
        <is>
          <t>Capital Restant Dû (CRD)</t>
        </is>
      </c>
      <c r="C27" s="8" t="inlineStr">
        <is>
          <t>Encours en CAPITAL uniquement — les intérêts ne sont PAS déductibles</t>
        </is>
      </c>
    </row>
    <row r="28" ht="18" customHeight="1">
      <c r="A28" s="6" t="inlineStr">
        <is>
          <t>Base IFI nette (scénario B)</t>
        </is>
      </c>
      <c r="B28" s="10" t="inlineStr">
        <is>
          <t>Base IFI fixe − CRD fin d'année</t>
        </is>
      </c>
      <c r="C28" s="8" t="inlineStr">
        <is>
          <t>3 500 000 € − CRD. IFI déclenchée si cette base ≥ 1 300 000 €</t>
        </is>
      </c>
    </row>
  </sheetData>
  <mergeCells count="6">
    <mergeCell ref="A19:C19"/>
    <mergeCell ref="A1:C1"/>
    <mergeCell ref="A8:C8"/>
    <mergeCell ref="A3:C3"/>
    <mergeCell ref="A15:C15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14" customWidth="1" min="10" max="10"/>
    <col width="14" customWidth="1" min="11" max="11"/>
    <col width="16" customWidth="1" min="12" max="12"/>
    <col width="16" customWidth="1" min="13" max="13"/>
  </cols>
  <sheetData>
    <row r="1" ht="30" customHeight="1">
      <c r="A1" s="13" t="inlineStr">
        <is>
          <t>TABLEAU COMPARATIF — ACHAT CASH (A) vs EMPRUNT 4% / 20 ANS (B)</t>
        </is>
      </c>
    </row>
    <row r="2" ht="20" customHeight="1">
      <c r="A2" s="2" t="inlineStr">
        <is>
          <t>AN</t>
        </is>
      </c>
      <c r="B2" s="14" t="inlineStr">
        <is>
          <t>SCÉNARIO A — ACHAT CASH</t>
        </is>
      </c>
      <c r="C2" s="15" t="n"/>
      <c r="D2" s="15" t="n"/>
      <c r="E2" s="16" t="inlineStr">
        <is>
          <t>SCÉNARIO B — EMPRUNT 4% / 20 ANS</t>
        </is>
      </c>
      <c r="F2" s="15" t="n"/>
      <c r="G2" s="15" t="n"/>
      <c r="H2" s="15" t="n"/>
      <c r="I2" s="15" t="n"/>
      <c r="J2" s="17" t="inlineStr">
        <is>
          <t>AVANTAGE B vs A</t>
        </is>
      </c>
      <c r="K2" s="15" t="n"/>
      <c r="L2" s="15" t="n"/>
      <c r="M2" s="15" t="n"/>
    </row>
    <row r="3" ht="36" customHeight="1">
      <c r="A3" s="18" t="inlineStr">
        <is>
          <t>Année</t>
        </is>
      </c>
      <c r="B3" s="19" t="inlineStr">
        <is>
          <t>Valeur maison
(2,5%/an)</t>
        </is>
      </c>
      <c r="C3" s="19" t="inlineStr">
        <is>
          <t>IFI payée
(A)</t>
        </is>
      </c>
      <c r="D3" s="19" t="inlineStr">
        <is>
          <t>Patrimoine
total (A)</t>
        </is>
      </c>
      <c r="E3" s="20" t="inlineStr">
        <is>
          <t>CRD fin
(capital restant)</t>
        </is>
      </c>
      <c r="F3" s="20" t="inlineStr">
        <is>
          <t>Intérêts
payés</t>
        </is>
      </c>
      <c r="G3" s="20" t="inlineStr">
        <is>
          <t>IFI payée
(B)</t>
        </is>
      </c>
      <c r="H3" s="20" t="inlineStr">
        <is>
          <t>Patrimoine
financier (B)</t>
        </is>
      </c>
      <c r="I3" s="20" t="inlineStr">
        <is>
          <t>Patrimoine
total (B)</t>
        </is>
      </c>
      <c r="J3" s="21" t="inlineStr">
        <is>
          <t>Économie
IFI</t>
        </is>
      </c>
      <c r="K3" s="21" t="inlineStr">
        <is>
          <t>Flux
réinvesti</t>
        </is>
      </c>
      <c r="L3" s="21" t="inlineStr">
        <is>
          <t>Delta
patrimoine</t>
        </is>
      </c>
      <c r="M3" s="21" t="inlineStr">
        <is>
          <t>Statut IFI (B)</t>
        </is>
      </c>
    </row>
    <row r="4" ht="17" customHeight="1">
      <c r="A4" s="22" t="n">
        <v>1</v>
      </c>
      <c r="B4" s="23" t="n">
        <v>5125000</v>
      </c>
      <c r="C4" s="23" t="n">
        <v>20690</v>
      </c>
      <c r="D4" s="23" t="n">
        <v>5125000</v>
      </c>
      <c r="E4" s="24" t="n">
        <v>4833379.110678445</v>
      </c>
      <c r="F4" s="24" t="n">
        <v>196967.3082580916</v>
      </c>
      <c r="G4" s="24" t="n">
        <v>0</v>
      </c>
      <c r="H4" s="24" t="n">
        <v>5323722.691741908</v>
      </c>
      <c r="I4" s="24" t="n">
        <v>10448722.69174191</v>
      </c>
      <c r="J4" s="25" t="n">
        <v>20690</v>
      </c>
      <c r="K4" s="25" t="n">
        <v>73722.69174190838</v>
      </c>
      <c r="L4" s="25" t="n">
        <v>5323722.691741908</v>
      </c>
      <c r="M4" s="26" t="inlineStr">
        <is>
          <t>✓ Protégé</t>
        </is>
      </c>
    </row>
    <row r="5" ht="17" customHeight="1">
      <c r="A5" s="22" t="n">
        <v>2</v>
      </c>
      <c r="B5" s="27" t="n">
        <v>5253125</v>
      </c>
      <c r="C5" s="27" t="n">
        <v>20690</v>
      </c>
      <c r="D5" s="27" t="n">
        <v>5253125</v>
      </c>
      <c r="E5" s="28" t="n">
        <v>4659969.829243262</v>
      </c>
      <c r="F5" s="28" t="n">
        <v>190178.916144464</v>
      </c>
      <c r="G5" s="28" t="n">
        <v>0</v>
      </c>
      <c r="H5" s="28" t="n">
        <v>5682919.91018454</v>
      </c>
      <c r="I5" s="28" t="n">
        <v>10936044.91018454</v>
      </c>
      <c r="J5" s="29" t="n">
        <v>20690</v>
      </c>
      <c r="K5" s="29" t="n">
        <v>93011.08385553601</v>
      </c>
      <c r="L5" s="29" t="n">
        <v>5682919.91018454</v>
      </c>
      <c r="M5" s="30" t="inlineStr">
        <is>
          <t>✓ Protégé</t>
        </is>
      </c>
    </row>
    <row r="6" ht="17" customHeight="1">
      <c r="A6" s="22" t="n">
        <v>3</v>
      </c>
      <c r="B6" s="23" t="n">
        <v>5384453.124999999</v>
      </c>
      <c r="C6" s="23" t="n">
        <v>20690</v>
      </c>
      <c r="D6" s="23" t="n">
        <v>5384453.124999999</v>
      </c>
      <c r="E6" s="24" t="n">
        <v>4479495.586125799</v>
      </c>
      <c r="F6" s="24" t="n">
        <v>183113.9544621826</v>
      </c>
      <c r="G6" s="24" t="n">
        <v>0</v>
      </c>
      <c r="H6" s="24" t="n">
        <v>6080266.951231584</v>
      </c>
      <c r="I6" s="24" t="n">
        <v>11464720.07623158</v>
      </c>
      <c r="J6" s="25" t="n">
        <v>20690</v>
      </c>
      <c r="K6" s="25" t="n">
        <v>113201.0455378174</v>
      </c>
      <c r="L6" s="25" t="n">
        <v>6080266.951231585</v>
      </c>
      <c r="M6" s="26" t="inlineStr">
        <is>
          <t>✓ Protégé</t>
        </is>
      </c>
    </row>
    <row r="7" ht="17" customHeight="1">
      <c r="A7" s="22" t="n">
        <v>4</v>
      </c>
      <c r="B7" s="27" t="n">
        <v>5519064.453124998</v>
      </c>
      <c r="C7" s="27" t="n">
        <v>20690</v>
      </c>
      <c r="D7" s="27" t="n">
        <v>5519064.453124998</v>
      </c>
      <c r="E7" s="28" t="n">
        <v>4291668.54388645</v>
      </c>
      <c r="F7" s="28" t="n">
        <v>175761.155340296</v>
      </c>
      <c r="G7" s="28" t="n">
        <v>0</v>
      </c>
      <c r="H7" s="28" t="n">
        <v>6518615.393452868</v>
      </c>
      <c r="I7" s="28" t="n">
        <v>12037679.84657787</v>
      </c>
      <c r="J7" s="29" t="n">
        <v>20690</v>
      </c>
      <c r="K7" s="29" t="n">
        <v>134335.094659704</v>
      </c>
      <c r="L7" s="29" t="n">
        <v>6518615.393452868</v>
      </c>
      <c r="M7" s="30" t="inlineStr">
        <is>
          <t>✓ Protégé</t>
        </is>
      </c>
    </row>
    <row r="8" ht="17" customHeight="1">
      <c r="A8" s="22" t="n">
        <v>5</v>
      </c>
      <c r="B8" s="23" t="n">
        <v>5657041.064453122</v>
      </c>
      <c r="C8" s="23" t="n">
        <v>20690</v>
      </c>
      <c r="D8" s="23" t="n">
        <v>5657041.064453122</v>
      </c>
      <c r="E8" s="24" t="n">
        <v>4096189.138144208</v>
      </c>
      <c r="F8" s="24" t="n">
        <v>168108.7918374043</v>
      </c>
      <c r="G8" s="24" t="n">
        <v>0</v>
      </c>
      <c r="H8" s="24" t="n">
        <v>7001003.933788107</v>
      </c>
      <c r="I8" s="24" t="n">
        <v>12658044.99824123</v>
      </c>
      <c r="J8" s="25" t="n">
        <v>20690</v>
      </c>
      <c r="K8" s="25" t="n">
        <v>156457.7706625957</v>
      </c>
      <c r="L8" s="25" t="n">
        <v>7001003.933788107</v>
      </c>
      <c r="M8" s="26" t="inlineStr">
        <is>
          <t>✓ Protégé</t>
        </is>
      </c>
    </row>
    <row r="9" ht="17" customHeight="1">
      <c r="A9" s="22" t="n">
        <v>6</v>
      </c>
      <c r="B9" s="27" t="n">
        <v>5798467.091064449</v>
      </c>
      <c r="C9" s="27" t="n">
        <v>20690</v>
      </c>
      <c r="D9" s="27" t="n">
        <v>5798467.091064449</v>
      </c>
      <c r="E9" s="28" t="n">
        <v>3892745.599802984</v>
      </c>
      <c r="F9" s="28" t="n">
        <v>160144.6592384219</v>
      </c>
      <c r="G9" s="28" t="n">
        <v>0</v>
      </c>
      <c r="H9" s="28" t="n">
        <v>7530669.86186409</v>
      </c>
      <c r="I9" s="28" t="n">
        <v>13329136.95292854</v>
      </c>
      <c r="J9" s="29" t="n">
        <v>20690</v>
      </c>
      <c r="K9" s="29" t="n">
        <v>179615.7313865781</v>
      </c>
      <c r="L9" s="29" t="n">
        <v>7530669.86186409</v>
      </c>
      <c r="M9" s="30" t="inlineStr">
        <is>
          <t>✓ Protégé</t>
        </is>
      </c>
    </row>
    <row r="10" ht="17" customHeight="1">
      <c r="A10" s="22" t="n">
        <v>7</v>
      </c>
      <c r="B10" s="23" t="n">
        <v>5943428.76834106</v>
      </c>
      <c r="C10" s="23" t="n">
        <v>20690</v>
      </c>
      <c r="D10" s="23" t="n">
        <v>5943428.76834106</v>
      </c>
      <c r="E10" s="24" t="n">
        <v>3681013.457812679</v>
      </c>
      <c r="F10" s="24" t="n">
        <v>151856.055589339</v>
      </c>
      <c r="G10" s="24" t="n">
        <v>0</v>
      </c>
      <c r="H10" s="24" t="n">
        <v>8111061.209524205</v>
      </c>
      <c r="I10" s="24" t="n">
        <v>14054489.97786526</v>
      </c>
      <c r="J10" s="25" t="n">
        <v>20690</v>
      </c>
      <c r="K10" s="25" t="n">
        <v>203857.854566911</v>
      </c>
      <c r="L10" s="25" t="n">
        <v>8111061.209524204</v>
      </c>
      <c r="M10" s="26" t="inlineStr">
        <is>
          <t>✓ Protégé</t>
        </is>
      </c>
    </row>
    <row r="11" ht="17" customHeight="1">
      <c r="A11" s="22" t="n">
        <v>8</v>
      </c>
      <c r="B11" s="27" t="n">
        <v>6092014.487549586</v>
      </c>
      <c r="C11" s="27" t="n">
        <v>20690</v>
      </c>
      <c r="D11" s="27" t="n">
        <v>6092014.487549586</v>
      </c>
      <c r="E11" s="28" t="n">
        <v>3460655.021671975</v>
      </c>
      <c r="F11" s="28" t="n">
        <v>143229.761438942</v>
      </c>
      <c r="G11" s="28" t="n">
        <v>0</v>
      </c>
      <c r="H11" s="28" t="n">
        <v>8745849.614225537</v>
      </c>
      <c r="I11" s="28" t="n">
        <v>14837864.10177512</v>
      </c>
      <c r="J11" s="29" t="n">
        <v>20690</v>
      </c>
      <c r="K11" s="29" t="n">
        <v>229235.3442251206</v>
      </c>
      <c r="L11" s="29" t="n">
        <v>8745849.614225537</v>
      </c>
      <c r="M11" s="30" t="inlineStr">
        <is>
          <t>✓ Protégé</t>
        </is>
      </c>
    </row>
    <row r="12" ht="17" customHeight="1">
      <c r="A12" s="22" t="n">
        <v>9</v>
      </c>
      <c r="B12" s="23" t="n">
        <v>6244314.849738325</v>
      </c>
      <c r="C12" s="23" t="n">
        <v>20690</v>
      </c>
      <c r="D12" s="23" t="n">
        <v>6244314.849738325</v>
      </c>
      <c r="E12" s="24" t="n">
        <v>3231318.842847507</v>
      </c>
      <c r="F12" s="24" t="n">
        <v>134252.0187551778</v>
      </c>
      <c r="G12" s="24" t="n">
        <v>0</v>
      </c>
      <c r="H12" s="24" t="n">
        <v>9438943.937128903</v>
      </c>
      <c r="I12" s="24" t="n">
        <v>15683258.78686723</v>
      </c>
      <c r="J12" s="25" t="n">
        <v>20690</v>
      </c>
      <c r="K12" s="25" t="n">
        <v>255801.8421920879</v>
      </c>
      <c r="L12" s="25" t="n">
        <v>9438943.937128901</v>
      </c>
      <c r="M12" s="26" t="inlineStr">
        <is>
          <t>✓ Protégé</t>
        </is>
      </c>
    </row>
    <row r="13" ht="17" customHeight="1">
      <c r="A13" s="22" t="n">
        <v>10</v>
      </c>
      <c r="B13" s="27" t="n">
        <v>6400422.720981782</v>
      </c>
      <c r="C13" s="27" t="n">
        <v>20690</v>
      </c>
      <c r="D13" s="27" t="n">
        <v>6400422.720981782</v>
      </c>
      <c r="E13" s="28" t="n">
        <v>2992639.154250401</v>
      </c>
      <c r="F13" s="28" t="n">
        <v>124908.5089825401</v>
      </c>
      <c r="G13" s="28" t="n">
        <v>0</v>
      </c>
      <c r="H13" s="28" t="n">
        <v>10194504.67899744</v>
      </c>
      <c r="I13" s="28" t="n">
        <v>16594927.39997922</v>
      </c>
      <c r="J13" s="29" t="n">
        <v>20690</v>
      </c>
      <c r="K13" s="29" t="n">
        <v>283613.5450120888</v>
      </c>
      <c r="L13" s="29" t="n">
        <v>10194504.67899744</v>
      </c>
      <c r="M13" s="30" t="inlineStr">
        <is>
          <t>✓ Protégé</t>
        </is>
      </c>
    </row>
    <row r="14" ht="17" customHeight="1">
      <c r="A14" s="22" t="n">
        <v>11</v>
      </c>
      <c r="B14" s="23" t="n">
        <v>6560433.289006326</v>
      </c>
      <c r="C14" s="23" t="n">
        <v>20690</v>
      </c>
      <c r="D14" s="23" t="n">
        <v>6560433.289006326</v>
      </c>
      <c r="E14" s="24" t="n">
        <v>2744235.286876234</v>
      </c>
      <c r="F14" s="24" t="n">
        <v>115184.3302054791</v>
      </c>
      <c r="G14" s="24" t="n">
        <v>0</v>
      </c>
      <c r="H14" s="24" t="n">
        <v>11016959.23943619</v>
      </c>
      <c r="I14" s="24" t="n">
        <v>17577392.52844252</v>
      </c>
      <c r="J14" s="25" t="n">
        <v>20690</v>
      </c>
      <c r="K14" s="25" t="n">
        <v>312729.3264888814</v>
      </c>
      <c r="L14" s="25" t="n">
        <v>11016959.23943619</v>
      </c>
      <c r="M14" s="26" t="inlineStr">
        <is>
          <t>✓ Protégé</t>
        </is>
      </c>
    </row>
    <row r="15" ht="17" customHeight="1">
      <c r="A15" s="22" t="n">
        <v>12</v>
      </c>
      <c r="B15" s="27" t="n">
        <v>6724444.121231484</v>
      </c>
      <c r="C15" s="27" t="n">
        <v>20690</v>
      </c>
      <c r="D15" s="27" t="n">
        <v>6724444.121231484</v>
      </c>
      <c r="E15" s="28" t="n">
        <v>2485711.062678002</v>
      </c>
      <c r="F15" s="28" t="n">
        <v>105063.9733814128</v>
      </c>
      <c r="G15" s="28" t="n">
        <v>0</v>
      </c>
      <c r="H15" s="28" t="n">
        <v>11911018.06755567</v>
      </c>
      <c r="I15" s="28" t="n">
        <v>18635462.18878715</v>
      </c>
      <c r="J15" s="29" t="n">
        <v>20690</v>
      </c>
      <c r="K15" s="29" t="n">
        <v>343210.8661476657</v>
      </c>
      <c r="L15" s="29" t="n">
        <v>11911018.06755567</v>
      </c>
      <c r="M15" s="30" t="inlineStr">
        <is>
          <t>✓ Protégé</t>
        </is>
      </c>
    </row>
    <row r="16" ht="17" customHeight="1">
      <c r="A16" s="22" t="n">
        <v>13</v>
      </c>
      <c r="B16" s="23" t="n">
        <v>6892555.224262271</v>
      </c>
      <c r="C16" s="23" t="n">
        <v>20690</v>
      </c>
      <c r="D16" s="23" t="n">
        <v>6892555.224262271</v>
      </c>
      <c r="E16" s="24" t="n">
        <v>2216654.162703792</v>
      </c>
      <c r="F16" s="24" t="n">
        <v>94531.29760543519</v>
      </c>
      <c r="G16" s="24" t="n">
        <v>0</v>
      </c>
      <c r="H16" s="24" t="n">
        <v>12881691.75483355</v>
      </c>
      <c r="I16" s="24" t="n">
        <v>19774246.97909582</v>
      </c>
      <c r="J16" s="25" t="n">
        <v>20690</v>
      </c>
      <c r="K16" s="25" t="n">
        <v>375122.7839000972</v>
      </c>
      <c r="L16" s="25" t="n">
        <v>12881691.75483355</v>
      </c>
      <c r="M16" s="26" t="inlineStr">
        <is>
          <t>✓ Protégé</t>
        </is>
      </c>
    </row>
    <row r="17" ht="17" customHeight="1">
      <c r="A17" s="22" t="n">
        <v>14</v>
      </c>
      <c r="B17" s="27" t="n">
        <v>7064869.104868827</v>
      </c>
      <c r="C17" s="27" t="n">
        <v>20690</v>
      </c>
      <c r="D17" s="27" t="n">
        <v>7064869.104868827</v>
      </c>
      <c r="E17" s="31" t="n">
        <v>1936635.469491416</v>
      </c>
      <c r="F17" s="31" t="n">
        <v>83569.50436727033</v>
      </c>
      <c r="G17" s="32" t="n">
        <v>4343.551713560086</v>
      </c>
      <c r="H17" s="31" t="n">
        <v>13929965.5720752</v>
      </c>
      <c r="I17" s="31" t="n">
        <v>20994834.67694403</v>
      </c>
      <c r="J17" s="29" t="n">
        <v>16346.44828643991</v>
      </c>
      <c r="K17" s="29" t="n">
        <v>404189.2294999787</v>
      </c>
      <c r="L17" s="29" t="n">
        <v>13929965.5720752</v>
      </c>
      <c r="M17" s="30" t="inlineStr">
        <is>
          <t>⚠ IFI due</t>
        </is>
      </c>
    </row>
    <row r="18" ht="17" customHeight="1">
      <c r="A18" s="22" t="n">
        <v>15</v>
      </c>
      <c r="B18" s="23" t="n">
        <v>7241490.832490548</v>
      </c>
      <c r="C18" s="23" t="n">
        <v>20690</v>
      </c>
      <c r="D18" s="23" t="n">
        <v>7241490.832490548</v>
      </c>
      <c r="E18" s="33" t="n">
        <v>1645208.382671186</v>
      </c>
      <c r="F18" s="33" t="n">
        <v>72161.11075941495</v>
      </c>
      <c r="G18" s="32" t="n">
        <v>6383.541321301702</v>
      </c>
      <c r="H18" s="33" t="n">
        <v>15063592.0984581</v>
      </c>
      <c r="I18" s="33" t="n">
        <v>22305082.93094864</v>
      </c>
      <c r="J18" s="25" t="n">
        <v>14306.4586786983</v>
      </c>
      <c r="K18" s="25" t="n">
        <v>437128.2477791329</v>
      </c>
      <c r="L18" s="25" t="n">
        <v>15063592.0984581</v>
      </c>
      <c r="M18" s="26" t="inlineStr">
        <is>
          <t>⚠ IFI due</t>
        </is>
      </c>
    </row>
    <row r="19" ht="17" customHeight="1">
      <c r="A19" s="22" t="n">
        <v>16</v>
      </c>
      <c r="B19" s="27" t="n">
        <v>7422528.10330281</v>
      </c>
      <c r="C19" s="27" t="n">
        <v>20690</v>
      </c>
      <c r="D19" s="27" t="n">
        <v>7422528.10330281</v>
      </c>
      <c r="E19" s="31" t="n">
        <v>1341908.106685279</v>
      </c>
      <c r="F19" s="31" t="n">
        <v>60287.92159373926</v>
      </c>
      <c r="G19" s="32" t="n">
        <v>8506.643253203049</v>
      </c>
      <c r="H19" s="31" t="n">
        <v>16288399.1833869</v>
      </c>
      <c r="I19" s="31" t="n">
        <v>23710927.28668971</v>
      </c>
      <c r="J19" s="29" t="n">
        <v>12183.35674679695</v>
      </c>
      <c r="K19" s="29" t="n">
        <v>471627.4800058997</v>
      </c>
      <c r="L19" s="29" t="n">
        <v>16288399.1833869</v>
      </c>
      <c r="M19" s="30" t="inlineStr">
        <is>
          <t>⚠ IFI due</t>
        </is>
      </c>
    </row>
    <row r="20" ht="17" customHeight="1">
      <c r="A20" s="22" t="n">
        <v>17</v>
      </c>
      <c r="B20" s="23" t="n">
        <v>7608091.30588538</v>
      </c>
      <c r="C20" s="23" t="n">
        <v>20690</v>
      </c>
      <c r="D20" s="23" t="n">
        <v>7608091.30588538</v>
      </c>
      <c r="E20" s="33" t="n">
        <v>1026250.909487709</v>
      </c>
      <c r="F20" s="33" t="n">
        <v>47931.0003820754</v>
      </c>
      <c r="G20" s="32" t="n">
        <v>10716.24363358604</v>
      </c>
      <c r="H20" s="33" t="n">
        <v>17610580.54563607</v>
      </c>
      <c r="I20" s="33" t="n">
        <v>25218671.85152145</v>
      </c>
      <c r="J20" s="25" t="n">
        <v>9973.75636641396</v>
      </c>
      <c r="K20" s="25" t="n">
        <v>507761.4030798227</v>
      </c>
      <c r="L20" s="25" t="n">
        <v>17610580.54563607</v>
      </c>
      <c r="M20" s="26" t="inlineStr">
        <is>
          <t>⚠ IFI due</t>
        </is>
      </c>
    </row>
    <row r="21" ht="17" customHeight="1">
      <c r="A21" s="22" t="n">
        <v>18</v>
      </c>
      <c r="B21" s="27" t="n">
        <v>7798293.588532514</v>
      </c>
      <c r="C21" s="27" t="n">
        <v>20690</v>
      </c>
      <c r="D21" s="27" t="n">
        <v>7798293.588532514</v>
      </c>
      <c r="E21" s="31" t="n">
        <v>697733.351042573</v>
      </c>
      <c r="F21" s="31" t="n">
        <v>35070.63913451009</v>
      </c>
      <c r="G21" s="32" t="n">
        <v>13712.66648957427</v>
      </c>
      <c r="H21" s="31" t="n">
        <v>19036020.84674405</v>
      </c>
      <c r="I21" s="31" t="n">
        <v>26834314.43527656</v>
      </c>
      <c r="J21" s="29" t="n">
        <v>6977.333510425728</v>
      </c>
      <c r="K21" s="29" t="n">
        <v>544911.2738261741</v>
      </c>
      <c r="L21" s="29" t="n">
        <v>19036020.84674405</v>
      </c>
      <c r="M21" s="30" t="inlineStr">
        <is>
          <t>⚠ IFI due</t>
        </is>
      </c>
    </row>
    <row r="22" ht="17" customHeight="1">
      <c r="A22" s="22" t="n">
        <v>19</v>
      </c>
      <c r="B22" s="23" t="n">
        <v>7993250.928245826</v>
      </c>
      <c r="C22" s="23" t="n">
        <v>20690</v>
      </c>
      <c r="D22" s="23" t="n">
        <v>7993250.928245826</v>
      </c>
      <c r="E22" s="33" t="n">
        <v>355831.4803901402</v>
      </c>
      <c r="F22" s="33" t="n">
        <v>21686.32692721308</v>
      </c>
      <c r="G22" s="32" t="n">
        <v>17131.6851960986</v>
      </c>
      <c r="H22" s="33" t="n">
        <v>20571348.68538071</v>
      </c>
      <c r="I22" s="33" t="n">
        <v>28564599.61362654</v>
      </c>
      <c r="J22" s="25" t="n">
        <v>3558.314803901405</v>
      </c>
      <c r="K22" s="25" t="n">
        <v>583526.7962994595</v>
      </c>
      <c r="L22" s="25" t="n">
        <v>20571348.68538071</v>
      </c>
      <c r="M22" s="26" t="inlineStr">
        <is>
          <t>⚠ IFI due</t>
        </is>
      </c>
    </row>
    <row r="23" ht="17" customHeight="1">
      <c r="A23" s="22" t="n">
        <v>20</v>
      </c>
      <c r="B23" s="27" t="n">
        <v>8193082.20145197</v>
      </c>
      <c r="C23" s="27" t="n">
        <v>20690</v>
      </c>
      <c r="D23" s="27" t="n">
        <v>8193082.20145197</v>
      </c>
      <c r="E23" s="31" t="n">
        <v>1.651605998631567e-07</v>
      </c>
      <c r="F23" s="31" t="n">
        <v>7756.717189670634</v>
      </c>
      <c r="G23" s="32" t="n">
        <v>20689.99999999835</v>
      </c>
      <c r="H23" s="31" t="n">
        <v>22223896.95130399</v>
      </c>
      <c r="I23" s="31" t="n">
        <v>30416979.15275596</v>
      </c>
      <c r="J23" s="29" t="n">
        <v>1.651642378419638e-09</v>
      </c>
      <c r="K23" s="29" t="n">
        <v>623980.831654241</v>
      </c>
      <c r="L23" s="29" t="n">
        <v>22223896.95130399</v>
      </c>
      <c r="M23" s="30" t="inlineStr">
        <is>
          <t>⚠ IFI due</t>
        </is>
      </c>
    </row>
    <row r="24" ht="20" customHeight="1">
      <c r="A24" s="34" t="inlineStr">
        <is>
          <t>TOTAL / AN 20</t>
        </is>
      </c>
      <c r="B24" s="35" t="n">
        <v>8193082.20145197</v>
      </c>
      <c r="C24" s="35" t="n">
        <v>413800</v>
      </c>
      <c r="D24" s="35" t="n">
        <v>8193082.20145197</v>
      </c>
      <c r="E24" s="35" t="n">
        <v>0</v>
      </c>
      <c r="F24" s="35" t="n">
        <v>2271763.95159308</v>
      </c>
      <c r="G24" s="35" t="n">
        <v>81484.33160732209</v>
      </c>
      <c r="H24" s="35" t="n">
        <v>22223896.95130399</v>
      </c>
      <c r="I24" s="35" t="n">
        <v>30416979.15275596</v>
      </c>
      <c r="J24" s="35" t="n">
        <v>332315.6683926778</v>
      </c>
      <c r="K24" s="35" t="n">
        <v>6327040.242521701</v>
      </c>
      <c r="L24" s="35" t="n">
        <v>22223896.95130399</v>
      </c>
      <c r="M24" s="34" t="inlineStr">
        <is>
          <t>20 ans</t>
        </is>
      </c>
    </row>
    <row r="26" ht="28" customHeight="1">
      <c r="A26" s="36" t="inlineStr">
        <is>
          <t>Base IFI fixe = 3 500 000 € (valeur achat × 70%, non revalorisée — choix pédagogique)  •  CRD = capital restant dû (hors intérêts, seul montant déductible selon Bofip)  •  Patrimoine financier B = Placement 5M capitalisé à 5% + flux réinvestis  •  ⚠ Lignes orange : IFI scénario B se déclenche (CRD &lt; 2 200 000 €)</t>
        </is>
      </c>
    </row>
  </sheetData>
  <mergeCells count="6">
    <mergeCell ref="A1:M1"/>
    <mergeCell ref="E2:I2"/>
    <mergeCell ref="A2"/>
    <mergeCell ref="A26:M26"/>
    <mergeCell ref="J2:M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4" customWidth="1" min="12" max="12"/>
    <col width="14" customWidth="1" min="13" max="13"/>
  </cols>
  <sheetData>
    <row r="1" ht="30" customHeight="1">
      <c r="A1" s="13" t="inlineStr">
        <is>
          <t>ANNEXE — DÉTAIL DES CALCULS ANNÉE PAR ANNÉE</t>
        </is>
      </c>
    </row>
    <row r="3" ht="32" customHeight="1">
      <c r="A3" s="37" t="inlineStr">
        <is>
          <t>FORMULE</t>
        </is>
      </c>
      <c r="B3" s="38" t="inlineStr">
        <is>
          <t>EXPRESSION</t>
        </is>
      </c>
      <c r="C3" s="38" t="inlineStr">
        <is>
          <t>EXPLICATION</t>
        </is>
      </c>
    </row>
    <row r="4" ht="40" customHeight="1">
      <c r="A4" s="39" t="inlineStr">
        <is>
          <t>Mensualité</t>
        </is>
      </c>
      <c r="B4" s="40">
        <f> 5,000,000 × (4%/12) / [1 − (1 + 4%/12)^(−240)]</f>
        <v/>
      </c>
      <c r="C4" s="41">
        <f> 30,299 €/mois  →  363,588 €/an</f>
        <v/>
      </c>
    </row>
    <row r="5" ht="40" customHeight="1">
      <c r="A5" s="39" t="inlineStr">
        <is>
          <t>CRD fin d'année N</t>
        </is>
      </c>
      <c r="B5" s="40">
        <f> CRD début − Σ(capital mensuel remboursé sur 12 mois)</f>
        <v/>
      </c>
      <c r="C5" s="41" t="inlineStr">
        <is>
          <t>Encours en capital uniquement. Les intérêts = charge, pas ajoutés au solde.</t>
        </is>
      </c>
    </row>
    <row r="6" ht="40" customHeight="1">
      <c r="A6" s="39" t="inlineStr">
        <is>
          <t>Rendement placement</t>
        </is>
      </c>
      <c r="B6" s="40">
        <f> Valeur placement début d'année × 5%</f>
        <v/>
      </c>
      <c r="C6" s="41" t="inlineStr">
        <is>
          <t>La valeur grossit chaque année : 5M × 1,05^N</t>
        </is>
      </c>
    </row>
    <row r="7" ht="40" customHeight="1">
      <c r="A7" s="39" t="inlineStr">
        <is>
          <t>Effet de levier net</t>
        </is>
      </c>
      <c r="B7" s="40">
        <f> Rendement placement − Intérêts payés dans l'année</f>
        <v/>
      </c>
      <c r="C7" s="41" t="inlineStr">
        <is>
          <t>An 1 : 250 000 − 196 967 = 53 033 €. Croissant car intérêts baissent, placement grossit.</t>
        </is>
      </c>
    </row>
    <row r="8" ht="40" customHeight="1">
      <c r="A8" s="39" t="inlineStr">
        <is>
          <t>Base IFI scénario A</t>
        </is>
      </c>
      <c r="B8" s="40">
        <f> 5,000,000 × (1 − 30%) = 3,500,000 € fixe</f>
        <v/>
      </c>
      <c r="C8" s="41" t="inlineStr">
        <is>
          <t>Non revalorisée pour simplifier. IFI A = 20 690 €/an constant.</t>
        </is>
      </c>
    </row>
    <row r="9" ht="40" customHeight="1">
      <c r="A9" s="39" t="inlineStr">
        <is>
          <t>Base IFI scénario B</t>
        </is>
      </c>
      <c r="B9" s="40">
        <f> 3,500,000 € − CRD fin d'année</f>
        <v/>
      </c>
      <c r="C9" s="41" t="inlineStr">
        <is>
          <t>Négative les premières années → pas d'IFI. IFI se déclenche quand base ≥ 1 300 000 €.</t>
        </is>
      </c>
    </row>
    <row r="10" ht="40" customHeight="1">
      <c r="A10" s="39" t="inlineStr">
        <is>
          <t>IFI calculée</t>
        </is>
      </c>
      <c r="B10" s="40" t="inlineStr">
        <is>
          <t>Barème progressif à partir de 800 000 € (si seuil 1 300 000 € atteint)</t>
        </is>
      </c>
      <c r="C10" s="41" t="inlineStr">
        <is>
          <t>Effet rétroactif : dès que base ≥ 1,3M€, on recalcule depuis 800k€.</t>
        </is>
      </c>
    </row>
    <row r="11" ht="40" customHeight="1">
      <c r="A11" s="39" t="inlineStr">
        <is>
          <t>Économie IFI</t>
        </is>
      </c>
      <c r="B11" s="40">
        <f> IFI scénario A − IFI scénario B</f>
        <v/>
      </c>
      <c r="C11" s="41" t="inlineStr">
        <is>
          <t>Positive tant que IFI B &lt; IFI A. Décroît après an 14 quand IFI B se déclenche.</t>
        </is>
      </c>
    </row>
    <row r="12" ht="40" customHeight="1">
      <c r="A12" s="39" t="inlineStr">
        <is>
          <t>Flux réinvesti</t>
        </is>
      </c>
      <c r="B12" s="40">
        <f> Effet de levier net + Économie IFI</f>
        <v/>
      </c>
      <c r="C12" s="41" t="inlineStr">
        <is>
          <t>Somme des deux bénéfices annuels, capitalisée à 5%.</t>
        </is>
      </c>
    </row>
    <row r="13" ht="40" customHeight="1">
      <c r="A13" s="39" t="inlineStr">
        <is>
          <t>Cumul réinvesti</t>
        </is>
      </c>
      <c r="B13" s="40">
        <f> Cumul(N−1) × 1,05 + Flux(N)</f>
        <v/>
      </c>
      <c r="C13" s="41" t="inlineStr">
        <is>
          <t>Capitalisation à 5% : le stock grossit chaque année avant d'ajouter le flux de l'année.</t>
        </is>
      </c>
    </row>
    <row r="14" ht="40" customHeight="1">
      <c r="A14" s="39" t="inlineStr">
        <is>
          <t>Valeur maison</t>
        </is>
      </c>
      <c r="B14" s="40">
        <f> 5,000,000 × (1 + 2,5%)^N</f>
        <v/>
      </c>
      <c r="C14" s="41" t="inlineStr">
        <is>
          <t>Revalorisation identique dans les deux scénarios → n'impacte pas le delta financier.</t>
        </is>
      </c>
    </row>
    <row r="15" ht="40" customHeight="1">
      <c r="A15" s="39" t="inlineStr">
        <is>
          <t>Patrimoine total A</t>
        </is>
      </c>
      <c r="B15" s="40">
        <f> Valeur maison revalorisée</f>
        <v/>
      </c>
      <c r="C15" s="41" t="inlineStr">
        <is>
          <t>Pas de financier en scénario A (5M immobilisés dans l'achat).</t>
        </is>
      </c>
    </row>
    <row r="16" ht="40" customHeight="1">
      <c r="A16" s="39" t="inlineStr">
        <is>
          <t>Patrimoine total B</t>
        </is>
      </c>
      <c r="B16" s="40">
        <f> Valeur maison revalorisée + Placement 5M capitalisé + Cumul réinvesti</f>
        <v/>
      </c>
      <c r="C16" s="41" t="inlineStr">
        <is>
          <t>Les 3 composantes financières s'ajoutent à la même maison qu'en scénario A.</t>
        </is>
      </c>
    </row>
    <row r="17" ht="40" customHeight="1">
      <c r="A17" s="39" t="inlineStr">
        <is>
          <t>Delta patrimoine</t>
        </is>
      </c>
      <c r="B17" s="40">
        <f> Patrimoine total B − Patrimoine total A</f>
        <v/>
      </c>
      <c r="C17" s="41">
        <f> avantage net annuel du scénario B. Croît régulièrement jusqu'à ~+20M€ à an 20.</f>
        <v/>
      </c>
    </row>
    <row r="20" ht="24" customHeight="1">
      <c r="A20" s="42" t="inlineStr">
        <is>
          <t>TABLEAU DE VÉRIFICATION NUMÉRIQUE — TOUTES LES VALEURS INTERMÉDIAIRES</t>
        </is>
      </c>
    </row>
    <row r="21" ht="32" customHeight="1">
      <c r="A21" s="18" t="inlineStr">
        <is>
          <t>An</t>
        </is>
      </c>
      <c r="B21" s="18" t="inlineStr">
        <is>
          <t>CRD début</t>
        </is>
      </c>
      <c r="C21" s="18" t="inlineStr">
        <is>
          <t>Intérêts</t>
        </is>
      </c>
      <c r="D21" s="18" t="inlineStr">
        <is>
          <t>Capital
remb.</t>
        </is>
      </c>
      <c r="E21" s="18" t="inlineStr">
        <is>
          <t>CRD fin</t>
        </is>
      </c>
      <c r="F21" s="18" t="inlineStr">
        <is>
          <t>Rdt
placement</t>
        </is>
      </c>
      <c r="G21" s="18" t="inlineStr">
        <is>
          <t>Levier
net</t>
        </is>
      </c>
      <c r="H21" s="18" t="inlineStr">
        <is>
          <t>IFI (A)</t>
        </is>
      </c>
      <c r="I21" s="18" t="inlineStr">
        <is>
          <t>IFI (B)</t>
        </is>
      </c>
      <c r="J21" s="18" t="inlineStr">
        <is>
          <t>Éco IFI</t>
        </is>
      </c>
      <c r="K21" s="18" t="inlineStr">
        <is>
          <t>Flux
réinvesti</t>
        </is>
      </c>
      <c r="L21" s="18" t="inlineStr">
        <is>
          <t>Cumul
5%</t>
        </is>
      </c>
      <c r="M21" s="18" t="inlineStr">
        <is>
          <t>Valeur
maison</t>
        </is>
      </c>
    </row>
    <row r="22" ht="17" customHeight="1">
      <c r="A22" s="22" t="n">
        <v>1</v>
      </c>
      <c r="B22" s="43" t="n">
        <v>5000000</v>
      </c>
      <c r="C22" s="43" t="n">
        <v>196967.3082580916</v>
      </c>
      <c r="D22" s="43" t="n">
        <v>166620.889321554</v>
      </c>
      <c r="E22" s="43" t="n">
        <v>4833379.110678445</v>
      </c>
      <c r="F22" s="43" t="n">
        <v>250000</v>
      </c>
      <c r="G22" s="43" t="n">
        <v>53032.69174190838</v>
      </c>
      <c r="H22" s="43" t="n">
        <v>20690</v>
      </c>
      <c r="I22" s="43" t="n">
        <v>0</v>
      </c>
      <c r="J22" s="43" t="n">
        <v>20690</v>
      </c>
      <c r="K22" s="43" t="n">
        <v>73722.69174190838</v>
      </c>
      <c r="L22" s="43" t="n">
        <v>73722.69174190838</v>
      </c>
      <c r="M22" s="43" t="n">
        <v>5125000</v>
      </c>
    </row>
    <row r="23" ht="17" customHeight="1">
      <c r="A23" s="22" t="n">
        <v>2</v>
      </c>
      <c r="B23" s="44" t="n">
        <v>4833379.110678445</v>
      </c>
      <c r="C23" s="44" t="n">
        <v>190178.916144464</v>
      </c>
      <c r="D23" s="44" t="n">
        <v>173409.2814351818</v>
      </c>
      <c r="E23" s="44" t="n">
        <v>4659969.829243262</v>
      </c>
      <c r="F23" s="44" t="n">
        <v>262500</v>
      </c>
      <c r="G23" s="44" t="n">
        <v>72321.08385553601</v>
      </c>
      <c r="H23" s="44" t="n">
        <v>20690</v>
      </c>
      <c r="I23" s="44" t="n">
        <v>0</v>
      </c>
      <c r="J23" s="44" t="n">
        <v>20690</v>
      </c>
      <c r="K23" s="44" t="n">
        <v>93011.08385553601</v>
      </c>
      <c r="L23" s="44" t="n">
        <v>170419.9101845398</v>
      </c>
      <c r="M23" s="44" t="n">
        <v>5253125</v>
      </c>
    </row>
    <row r="24" ht="17" customHeight="1">
      <c r="A24" s="22" t="n">
        <v>3</v>
      </c>
      <c r="B24" s="43" t="n">
        <v>4659969.829243262</v>
      </c>
      <c r="C24" s="43" t="n">
        <v>183113.9544621826</v>
      </c>
      <c r="D24" s="43" t="n">
        <v>180474.2431174631</v>
      </c>
      <c r="E24" s="43" t="n">
        <v>4479495.586125799</v>
      </c>
      <c r="F24" s="43" t="n">
        <v>275625</v>
      </c>
      <c r="G24" s="43" t="n">
        <v>92511.04553781738</v>
      </c>
      <c r="H24" s="43" t="n">
        <v>20690</v>
      </c>
      <c r="I24" s="43" t="n">
        <v>0</v>
      </c>
      <c r="J24" s="43" t="n">
        <v>20690</v>
      </c>
      <c r="K24" s="43" t="n">
        <v>113201.0455378174</v>
      </c>
      <c r="L24" s="43" t="n">
        <v>292141.9512315842</v>
      </c>
      <c r="M24" s="43" t="n">
        <v>5384453.124999999</v>
      </c>
    </row>
    <row r="25" ht="17" customHeight="1">
      <c r="A25" s="22" t="n">
        <v>4</v>
      </c>
      <c r="B25" s="44" t="n">
        <v>4479495.586125799</v>
      </c>
      <c r="C25" s="44" t="n">
        <v>175761.155340296</v>
      </c>
      <c r="D25" s="44" t="n">
        <v>187827.0422393497</v>
      </c>
      <c r="E25" s="44" t="n">
        <v>4291668.54388645</v>
      </c>
      <c r="F25" s="44" t="n">
        <v>289406.25</v>
      </c>
      <c r="G25" s="44" t="n">
        <v>113645.094659704</v>
      </c>
      <c r="H25" s="44" t="n">
        <v>20690</v>
      </c>
      <c r="I25" s="44" t="n">
        <v>0</v>
      </c>
      <c r="J25" s="44" t="n">
        <v>20690</v>
      </c>
      <c r="K25" s="44" t="n">
        <v>134335.094659704</v>
      </c>
      <c r="L25" s="44" t="n">
        <v>441084.1434528674</v>
      </c>
      <c r="M25" s="44" t="n">
        <v>5519064.453124998</v>
      </c>
    </row>
    <row r="26" ht="17" customHeight="1">
      <c r="A26" s="22" t="n">
        <v>5</v>
      </c>
      <c r="B26" s="43" t="n">
        <v>4291668.54388645</v>
      </c>
      <c r="C26" s="43" t="n">
        <v>168108.7918374043</v>
      </c>
      <c r="D26" s="43" t="n">
        <v>195479.4057422414</v>
      </c>
      <c r="E26" s="43" t="n">
        <v>4096189.138144208</v>
      </c>
      <c r="F26" s="43" t="n">
        <v>303876.5625</v>
      </c>
      <c r="G26" s="43" t="n">
        <v>135767.7706625957</v>
      </c>
      <c r="H26" s="43" t="n">
        <v>20690</v>
      </c>
      <c r="I26" s="43" t="n">
        <v>0</v>
      </c>
      <c r="J26" s="43" t="n">
        <v>20690</v>
      </c>
      <c r="K26" s="43" t="n">
        <v>156457.7706625957</v>
      </c>
      <c r="L26" s="43" t="n">
        <v>619596.1212881064</v>
      </c>
      <c r="M26" s="43" t="n">
        <v>5657041.064453122</v>
      </c>
    </row>
    <row r="27" ht="17" customHeight="1">
      <c r="A27" s="22" t="n">
        <v>6</v>
      </c>
      <c r="B27" s="44" t="n">
        <v>4096189.138144208</v>
      </c>
      <c r="C27" s="44" t="n">
        <v>160144.6592384219</v>
      </c>
      <c r="D27" s="44" t="n">
        <v>203443.5383412239</v>
      </c>
      <c r="E27" s="44" t="n">
        <v>3892745.599802984</v>
      </c>
      <c r="F27" s="44" t="n">
        <v>319070.390625</v>
      </c>
      <c r="G27" s="44" t="n">
        <v>158925.7313865781</v>
      </c>
      <c r="H27" s="44" t="n">
        <v>20690</v>
      </c>
      <c r="I27" s="44" t="n">
        <v>0</v>
      </c>
      <c r="J27" s="44" t="n">
        <v>20690</v>
      </c>
      <c r="K27" s="44" t="n">
        <v>179615.7313865781</v>
      </c>
      <c r="L27" s="44" t="n">
        <v>830191.65873909</v>
      </c>
      <c r="M27" s="44" t="n">
        <v>5798467.091064449</v>
      </c>
    </row>
    <row r="28" ht="17" customHeight="1">
      <c r="A28" s="22" t="n">
        <v>7</v>
      </c>
      <c r="B28" s="43" t="n">
        <v>3892745.599802984</v>
      </c>
      <c r="C28" s="43" t="n">
        <v>151856.055589339</v>
      </c>
      <c r="D28" s="43" t="n">
        <v>211732.1419903067</v>
      </c>
      <c r="E28" s="43" t="n">
        <v>3681013.457812679</v>
      </c>
      <c r="F28" s="43" t="n">
        <v>335023.91015625</v>
      </c>
      <c r="G28" s="43" t="n">
        <v>183167.854566911</v>
      </c>
      <c r="H28" s="43" t="n">
        <v>20690</v>
      </c>
      <c r="I28" s="43" t="n">
        <v>0</v>
      </c>
      <c r="J28" s="43" t="n">
        <v>20690</v>
      </c>
      <c r="K28" s="43" t="n">
        <v>203857.854566911</v>
      </c>
      <c r="L28" s="43" t="n">
        <v>1075559.096242955</v>
      </c>
      <c r="M28" s="43" t="n">
        <v>5943428.76834106</v>
      </c>
    </row>
    <row r="29" ht="17" customHeight="1">
      <c r="A29" s="22" t="n">
        <v>8</v>
      </c>
      <c r="B29" s="44" t="n">
        <v>3681013.457812679</v>
      </c>
      <c r="C29" s="44" t="n">
        <v>143229.761438942</v>
      </c>
      <c r="D29" s="44" t="n">
        <v>220358.4361407037</v>
      </c>
      <c r="E29" s="44" t="n">
        <v>3460655.021671975</v>
      </c>
      <c r="F29" s="44" t="n">
        <v>351775.1056640625</v>
      </c>
      <c r="G29" s="44" t="n">
        <v>208545.3442251206</v>
      </c>
      <c r="H29" s="44" t="n">
        <v>20690</v>
      </c>
      <c r="I29" s="44" t="n">
        <v>0</v>
      </c>
      <c r="J29" s="44" t="n">
        <v>20690</v>
      </c>
      <c r="K29" s="44" t="n">
        <v>229235.3442251206</v>
      </c>
      <c r="L29" s="44" t="n">
        <v>1358572.395280224</v>
      </c>
      <c r="M29" s="44" t="n">
        <v>6092014.487549586</v>
      </c>
    </row>
    <row r="30" ht="17" customHeight="1">
      <c r="A30" s="22" t="n">
        <v>9</v>
      </c>
      <c r="B30" s="43" t="n">
        <v>3460655.021671975</v>
      </c>
      <c r="C30" s="43" t="n">
        <v>134252.0187551778</v>
      </c>
      <c r="D30" s="43" t="n">
        <v>229336.1788244679</v>
      </c>
      <c r="E30" s="43" t="n">
        <v>3231318.842847507</v>
      </c>
      <c r="F30" s="43" t="n">
        <v>369363.8609472657</v>
      </c>
      <c r="G30" s="43" t="n">
        <v>235111.8421920879</v>
      </c>
      <c r="H30" s="43" t="n">
        <v>20690</v>
      </c>
      <c r="I30" s="43" t="n">
        <v>0</v>
      </c>
      <c r="J30" s="43" t="n">
        <v>20690</v>
      </c>
      <c r="K30" s="43" t="n">
        <v>255801.8421920879</v>
      </c>
      <c r="L30" s="43" t="n">
        <v>1682302.857236323</v>
      </c>
      <c r="M30" s="43" t="n">
        <v>6244314.849738325</v>
      </c>
    </row>
    <row r="31" ht="17" customHeight="1">
      <c r="A31" s="22" t="n">
        <v>10</v>
      </c>
      <c r="B31" s="44" t="n">
        <v>3231318.842847507</v>
      </c>
      <c r="C31" s="44" t="n">
        <v>124908.5089825401</v>
      </c>
      <c r="D31" s="44" t="n">
        <v>238679.6885971056</v>
      </c>
      <c r="E31" s="44" t="n">
        <v>2992639.154250401</v>
      </c>
      <c r="F31" s="44" t="n">
        <v>387832.053994629</v>
      </c>
      <c r="G31" s="44" t="n">
        <v>262923.5450120888</v>
      </c>
      <c r="H31" s="44" t="n">
        <v>20690</v>
      </c>
      <c r="I31" s="44" t="n">
        <v>0</v>
      </c>
      <c r="J31" s="44" t="n">
        <v>20690</v>
      </c>
      <c r="K31" s="44" t="n">
        <v>283613.5450120888</v>
      </c>
      <c r="L31" s="44" t="n">
        <v>2050031.545110228</v>
      </c>
      <c r="M31" s="44" t="n">
        <v>6400422.720981782</v>
      </c>
    </row>
    <row r="32" ht="17" customHeight="1">
      <c r="A32" s="22" t="n">
        <v>11</v>
      </c>
      <c r="B32" s="43" t="n">
        <v>2992639.154250401</v>
      </c>
      <c r="C32" s="43" t="n">
        <v>115184.3302054791</v>
      </c>
      <c r="D32" s="43" t="n">
        <v>248403.8673741666</v>
      </c>
      <c r="E32" s="43" t="n">
        <v>2744235.286876234</v>
      </c>
      <c r="F32" s="43" t="n">
        <v>407223.6566943605</v>
      </c>
      <c r="G32" s="43" t="n">
        <v>292039.3264888814</v>
      </c>
      <c r="H32" s="43" t="n">
        <v>20690</v>
      </c>
      <c r="I32" s="43" t="n">
        <v>0</v>
      </c>
      <c r="J32" s="43" t="n">
        <v>20690</v>
      </c>
      <c r="K32" s="43" t="n">
        <v>312729.3264888814</v>
      </c>
      <c r="L32" s="43" t="n">
        <v>2465262.448854621</v>
      </c>
      <c r="M32" s="43" t="n">
        <v>6560433.289006326</v>
      </c>
    </row>
    <row r="33" ht="17" customHeight="1">
      <c r="A33" s="22" t="n">
        <v>12</v>
      </c>
      <c r="B33" s="44" t="n">
        <v>2744235.286876234</v>
      </c>
      <c r="C33" s="44" t="n">
        <v>105063.9733814128</v>
      </c>
      <c r="D33" s="44" t="n">
        <v>258524.2241982329</v>
      </c>
      <c r="E33" s="44" t="n">
        <v>2485711.062678002</v>
      </c>
      <c r="F33" s="44" t="n">
        <v>427584.8395290785</v>
      </c>
      <c r="G33" s="44" t="n">
        <v>322520.8661476657</v>
      </c>
      <c r="H33" s="44" t="n">
        <v>20690</v>
      </c>
      <c r="I33" s="44" t="n">
        <v>0</v>
      </c>
      <c r="J33" s="44" t="n">
        <v>20690</v>
      </c>
      <c r="K33" s="44" t="n">
        <v>343210.8661476657</v>
      </c>
      <c r="L33" s="44" t="n">
        <v>2931736.437445018</v>
      </c>
      <c r="M33" s="44" t="n">
        <v>6724444.121231484</v>
      </c>
    </row>
    <row r="34" ht="17" customHeight="1">
      <c r="A34" s="22" t="n">
        <v>13</v>
      </c>
      <c r="B34" s="43" t="n">
        <v>2485711.062678002</v>
      </c>
      <c r="C34" s="43" t="n">
        <v>94531.29760543519</v>
      </c>
      <c r="D34" s="43" t="n">
        <v>269056.8999742105</v>
      </c>
      <c r="E34" s="43" t="n">
        <v>2216654.162703792</v>
      </c>
      <c r="F34" s="43" t="n">
        <v>448964.0815055324</v>
      </c>
      <c r="G34" s="43" t="n">
        <v>354432.7839000972</v>
      </c>
      <c r="H34" s="43" t="n">
        <v>20690</v>
      </c>
      <c r="I34" s="43" t="n">
        <v>0</v>
      </c>
      <c r="J34" s="43" t="n">
        <v>20690</v>
      </c>
      <c r="K34" s="43" t="n">
        <v>375122.7839000972</v>
      </c>
      <c r="L34" s="43" t="n">
        <v>3453446.043217367</v>
      </c>
      <c r="M34" s="43" t="n">
        <v>6892555.224262271</v>
      </c>
    </row>
    <row r="35" ht="17" customHeight="1">
      <c r="A35" s="22" t="n">
        <v>14</v>
      </c>
      <c r="B35" s="44" t="n">
        <v>2216654.162703792</v>
      </c>
      <c r="C35" s="44" t="n">
        <v>83569.50436727033</v>
      </c>
      <c r="D35" s="44" t="n">
        <v>280018.6932123754</v>
      </c>
      <c r="E35" s="44" t="n">
        <v>1936635.469491416</v>
      </c>
      <c r="F35" s="44" t="n">
        <v>471412.2855808091</v>
      </c>
      <c r="G35" s="44" t="n">
        <v>387842.7812135387</v>
      </c>
      <c r="H35" s="44" t="n">
        <v>20690</v>
      </c>
      <c r="I35" s="32" t="n">
        <v>4343.551713560086</v>
      </c>
      <c r="J35" s="44" t="n">
        <v>16346.44828643991</v>
      </c>
      <c r="K35" s="44" t="n">
        <v>404189.2294999787</v>
      </c>
      <c r="L35" s="44" t="n">
        <v>4030307.574878213</v>
      </c>
      <c r="M35" s="44" t="n">
        <v>7064869.104868827</v>
      </c>
    </row>
    <row r="36" ht="17" customHeight="1">
      <c r="A36" s="22" t="n">
        <v>15</v>
      </c>
      <c r="B36" s="43" t="n">
        <v>1936635.469491416</v>
      </c>
      <c r="C36" s="43" t="n">
        <v>72161.11075941495</v>
      </c>
      <c r="D36" s="43" t="n">
        <v>291427.0868202308</v>
      </c>
      <c r="E36" s="43" t="n">
        <v>1645208.382671186</v>
      </c>
      <c r="F36" s="43" t="n">
        <v>494982.8998598496</v>
      </c>
      <c r="G36" s="43" t="n">
        <v>422821.7891004346</v>
      </c>
      <c r="H36" s="43" t="n">
        <v>20690</v>
      </c>
      <c r="I36" s="32" t="n">
        <v>6383.541321301702</v>
      </c>
      <c r="J36" s="43" t="n">
        <v>14306.4586786983</v>
      </c>
      <c r="K36" s="43" t="n">
        <v>437128.2477791329</v>
      </c>
      <c r="L36" s="43" t="n">
        <v>4668951.201401257</v>
      </c>
      <c r="M36" s="43" t="n">
        <v>7241490.832490548</v>
      </c>
    </row>
    <row r="37" ht="17" customHeight="1">
      <c r="A37" s="22" t="n">
        <v>16</v>
      </c>
      <c r="B37" s="44" t="n">
        <v>1645208.382671186</v>
      </c>
      <c r="C37" s="44" t="n">
        <v>60287.92159373926</v>
      </c>
      <c r="D37" s="44" t="n">
        <v>303300.2759859065</v>
      </c>
      <c r="E37" s="44" t="n">
        <v>1341908.106685279</v>
      </c>
      <c r="F37" s="44" t="n">
        <v>519732.0448528421</v>
      </c>
      <c r="G37" s="44" t="n">
        <v>459444.1232591028</v>
      </c>
      <c r="H37" s="44" t="n">
        <v>20690</v>
      </c>
      <c r="I37" s="32" t="n">
        <v>8506.643253203049</v>
      </c>
      <c r="J37" s="44" t="n">
        <v>12183.35674679695</v>
      </c>
      <c r="K37" s="44" t="n">
        <v>471627.4800058997</v>
      </c>
      <c r="L37" s="44" t="n">
        <v>5374026.241477219</v>
      </c>
      <c r="M37" s="44" t="n">
        <v>7422528.10330281</v>
      </c>
    </row>
    <row r="38" ht="17" customHeight="1">
      <c r="A38" s="22" t="n">
        <v>17</v>
      </c>
      <c r="B38" s="43" t="n">
        <v>1341908.106685279</v>
      </c>
      <c r="C38" s="43" t="n">
        <v>47931.0003820754</v>
      </c>
      <c r="D38" s="43" t="n">
        <v>315657.1971975703</v>
      </c>
      <c r="E38" s="43" t="n">
        <v>1026250.909487709</v>
      </c>
      <c r="F38" s="43" t="n">
        <v>545718.6470954841</v>
      </c>
      <c r="G38" s="43" t="n">
        <v>497787.6467134087</v>
      </c>
      <c r="H38" s="43" t="n">
        <v>20690</v>
      </c>
      <c r="I38" s="32" t="n">
        <v>10716.24363358604</v>
      </c>
      <c r="J38" s="43" t="n">
        <v>9973.75636641396</v>
      </c>
      <c r="K38" s="43" t="n">
        <v>507761.4030798227</v>
      </c>
      <c r="L38" s="43" t="n">
        <v>6150488.956630903</v>
      </c>
      <c r="M38" s="43" t="n">
        <v>7608091.30588538</v>
      </c>
    </row>
    <row r="39" ht="17" customHeight="1">
      <c r="A39" s="22" t="n">
        <v>18</v>
      </c>
      <c r="B39" s="44" t="n">
        <v>1026250.909487709</v>
      </c>
      <c r="C39" s="44" t="n">
        <v>35070.63913451009</v>
      </c>
      <c r="D39" s="44" t="n">
        <v>328517.5584451356</v>
      </c>
      <c r="E39" s="44" t="n">
        <v>697733.351042573</v>
      </c>
      <c r="F39" s="44" t="n">
        <v>573004.5794502584</v>
      </c>
      <c r="G39" s="44" t="n">
        <v>537933.9403157483</v>
      </c>
      <c r="H39" s="44" t="n">
        <v>20690</v>
      </c>
      <c r="I39" s="32" t="n">
        <v>13712.66648957427</v>
      </c>
      <c r="J39" s="44" t="n">
        <v>6977.333510425728</v>
      </c>
      <c r="K39" s="44" t="n">
        <v>544911.2738261741</v>
      </c>
      <c r="L39" s="44" t="n">
        <v>7002924.678288623</v>
      </c>
      <c r="M39" s="44" t="n">
        <v>7798293.588532514</v>
      </c>
    </row>
    <row r="40" ht="17" customHeight="1">
      <c r="A40" s="22" t="n">
        <v>19</v>
      </c>
      <c r="B40" s="43" t="n">
        <v>697733.351042573</v>
      </c>
      <c r="C40" s="43" t="n">
        <v>21686.32692721308</v>
      </c>
      <c r="D40" s="43" t="n">
        <v>341901.8706524326</v>
      </c>
      <c r="E40" s="43" t="n">
        <v>355831.4803901402</v>
      </c>
      <c r="F40" s="43" t="n">
        <v>601654.8084227713</v>
      </c>
      <c r="G40" s="43" t="n">
        <v>579968.4814955582</v>
      </c>
      <c r="H40" s="43" t="n">
        <v>20690</v>
      </c>
      <c r="I40" s="32" t="n">
        <v>17131.6851960986</v>
      </c>
      <c r="J40" s="43" t="n">
        <v>3558.314803901405</v>
      </c>
      <c r="K40" s="43" t="n">
        <v>583526.7962994595</v>
      </c>
      <c r="L40" s="43" t="n">
        <v>7936597.708502513</v>
      </c>
      <c r="M40" s="43" t="n">
        <v>7993250.928245826</v>
      </c>
    </row>
    <row r="41" ht="17" customHeight="1">
      <c r="A41" s="22" t="n">
        <v>20</v>
      </c>
      <c r="B41" s="44" t="n">
        <v>355831.4803901402</v>
      </c>
      <c r="C41" s="44" t="n">
        <v>7756.717189670634</v>
      </c>
      <c r="D41" s="44" t="n">
        <v>355831.480389975</v>
      </c>
      <c r="E41" s="44" t="n">
        <v>1.651605998631567e-07</v>
      </c>
      <c r="F41" s="44" t="n">
        <v>631737.54884391</v>
      </c>
      <c r="G41" s="44" t="n">
        <v>623980.8316542393</v>
      </c>
      <c r="H41" s="44" t="n">
        <v>20690</v>
      </c>
      <c r="I41" s="32" t="n">
        <v>20689.99999999835</v>
      </c>
      <c r="J41" s="44" t="n">
        <v>1.651642378419638e-09</v>
      </c>
      <c r="K41" s="44" t="n">
        <v>623980.831654241</v>
      </c>
      <c r="L41" s="44" t="n">
        <v>8957408.42558188</v>
      </c>
      <c r="M41" s="44" t="n">
        <v>8193082.20145197</v>
      </c>
    </row>
  </sheetData>
  <mergeCells count="2">
    <mergeCell ref="A1:J1"/>
    <mergeCell ref="A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2026-06-17T06:50:15Z</dcterms:created>
  <dcterms:modified xsi:type="dcterms:W3CDTF">2026-06-17T06:50:15Z</dcterms:modified>
</cp:coreProperties>
</file>