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graphique" sheetId="1" state="visible" r:id="rId1"/>
    <sheet name="Notes &amp; anno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F172A"/>
      <sz val="12"/>
    </font>
    <font>
      <color rgb="00000000"/>
      <sz val="9"/>
    </font>
    <font>
      <color rgb="00334155"/>
      <sz val="9"/>
    </font>
    <font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7C3AE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EF2F2"/>
      </patternFill>
    </fill>
    <fill>
      <patternFill patternType="solid">
        <fgColor rgb="00F5F3FF"/>
      </patternFill>
    </fill>
    <fill>
      <patternFill patternType="solid">
        <fgColor rgb="00F0FDF4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7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4" fontId="3" fillId="10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4" fontId="3" fillId="11" borderId="1" applyAlignment="1" pivotButton="0" quotePrefix="0" xfId="0">
      <alignment horizontal="center" vertical="center"/>
    </xf>
    <xf numFmtId="3" fontId="3" fillId="11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Protection IFI par la dette : deux événements à distinguer</a:t>
            </a:r>
          </a:p>
        </rich>
      </tx>
    </title>
    <plotArea>
      <lineChart>
        <grouping val="standard"/>
        <ser>
          <idx val="0"/>
          <order val="0"/>
          <tx>
            <v>① CRD — Capital Restant Dû</v>
          </tx>
          <spPr>
            <a:ln w="28000">
              <a:solidFill>
                <a:srgbClr val="1D4ED8"/>
              </a:solidFill>
              <a:prstDash val="solid"/>
            </a:ln>
          </spPr>
          <marker>
            <symbol val="circle"/>
            <size val="5"/>
            <spPr>
              <a:solidFill>
                <a:srgbClr val="1D4ED8"/>
              </a:solidFill>
              <a:ln>
                <a:solidFill>
                  <a:srgbClr val="1D4ED8"/>
                </a:solidFill>
                <a:prstDash val="solid"/>
              </a:ln>
            </spPr>
          </marker>
          <cat>
            <numRef>
              <f>'Données graphique'!$A$3:$A$22</f>
            </numRef>
          </cat>
          <val>
            <numRef>
              <f>'Données graphique'!$B$3:$B$22</f>
            </numRef>
          </val>
        </ser>
        <ser>
          <idx val="1"/>
          <order val="1"/>
          <tx>
            <v>② Base IFI nette = 3,5M€ − CRD</v>
          </tx>
          <spPr>
            <a:ln w="28000">
              <a:solidFill>
                <a:srgbClr val="15803D"/>
              </a:solidFill>
              <a:prstDash val="solid"/>
            </a:ln>
          </spPr>
          <marker>
            <symbol val="square"/>
            <size val="5"/>
            <spPr>
              <a:solidFill>
                <a:srgbClr val="15803D"/>
              </a:solidFill>
              <a:ln>
                <a:solidFill>
                  <a:srgbClr val="15803D"/>
                </a:solidFill>
                <a:prstDash val="solid"/>
              </a:ln>
            </spPr>
          </marker>
          <cat>
            <numRef>
              <f>'Données graphique'!$A$3:$A$22</f>
            </numRef>
          </cat>
          <val>
            <numRef>
              <f>'Données graphique'!$C$3:$C$22</f>
            </numRef>
          </val>
        </ser>
        <ser>
          <idx val="2"/>
          <order val="2"/>
          <tx>
            <v>Seuil IFI = 1,3M€</v>
          </tx>
          <spPr>
            <a:ln w="18000">
              <a:solidFill>
                <a:srgbClr val="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'Données graphique'!$A$3:$A$22</f>
            </numRef>
          </cat>
          <val>
            <numRef>
              <f>'Données graphique'!$D$3:$D$22</f>
            </numRef>
          </val>
        </ser>
        <ser>
          <idx val="3"/>
          <order val="3"/>
          <tx>
            <v>CRD critique = 2,2M€</v>
          </tx>
          <spPr>
            <a:ln w="15000">
              <a:solidFill>
                <a:srgbClr val="1D4ED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'Données graphique'!$A$3:$A$22</f>
            </numRef>
          </cat>
          <val>
            <numRef>
              <f>'Données graphique'!$E$3:$E$22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.5"/>
          <min val="-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Millions €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Données — Protection IFI par la dette (capital restant dû, Bofip)</t>
        </is>
      </c>
    </row>
    <row r="2" ht="24" customHeight="1">
      <c r="A2" s="2" t="inlineStr">
        <is>
          <t>Année</t>
        </is>
      </c>
      <c r="B2" s="3" t="inlineStr">
        <is>
          <t>CRD (M€)</t>
        </is>
      </c>
      <c r="C2" s="4" t="inlineStr">
        <is>
          <t>Base IFI nette (M€)</t>
        </is>
      </c>
      <c r="D2" s="5" t="inlineStr">
        <is>
          <t>Seuil IFI 1,3M€</t>
        </is>
      </c>
      <c r="E2" s="3" t="inlineStr">
        <is>
          <t>CRD critique 2,2M€</t>
        </is>
      </c>
      <c r="F2" s="6" t="inlineStr">
        <is>
          <t>IFI due (€)</t>
        </is>
      </c>
    </row>
    <row r="3" ht="16" customHeight="1">
      <c r="A3" s="7" t="n">
        <v>1</v>
      </c>
      <c r="B3" s="8" t="n">
        <v>4.833</v>
      </c>
      <c r="C3" s="8" t="n">
        <v>-1.333</v>
      </c>
      <c r="D3" s="8" t="n">
        <v>1.3</v>
      </c>
      <c r="E3" s="8" t="n">
        <v>2.2</v>
      </c>
      <c r="F3" s="9" t="n">
        <v>0</v>
      </c>
    </row>
    <row r="4" ht="16" customHeight="1">
      <c r="A4" s="10" t="n">
        <v>2</v>
      </c>
      <c r="B4" s="11" t="n">
        <v>4.66</v>
      </c>
      <c r="C4" s="11" t="n">
        <v>-1.16</v>
      </c>
      <c r="D4" s="11" t="n">
        <v>1.3</v>
      </c>
      <c r="E4" s="11" t="n">
        <v>2.2</v>
      </c>
      <c r="F4" s="12" t="n">
        <v>0</v>
      </c>
    </row>
    <row r="5" ht="16" customHeight="1">
      <c r="A5" s="7" t="n">
        <v>3</v>
      </c>
      <c r="B5" s="8" t="n">
        <v>4.479</v>
      </c>
      <c r="C5" s="8" t="n">
        <v>-0.979</v>
      </c>
      <c r="D5" s="8" t="n">
        <v>1.3</v>
      </c>
      <c r="E5" s="8" t="n">
        <v>2.2</v>
      </c>
      <c r="F5" s="9" t="n">
        <v>0</v>
      </c>
    </row>
    <row r="6" ht="16" customHeight="1">
      <c r="A6" s="10" t="n">
        <v>4</v>
      </c>
      <c r="B6" s="11" t="n">
        <v>4.292</v>
      </c>
      <c r="C6" s="11" t="n">
        <v>-0.792</v>
      </c>
      <c r="D6" s="11" t="n">
        <v>1.3</v>
      </c>
      <c r="E6" s="11" t="n">
        <v>2.2</v>
      </c>
      <c r="F6" s="12" t="n">
        <v>0</v>
      </c>
    </row>
    <row r="7" ht="16" customHeight="1">
      <c r="A7" s="7" t="n">
        <v>5</v>
      </c>
      <c r="B7" s="8" t="n">
        <v>4.096</v>
      </c>
      <c r="C7" s="8" t="n">
        <v>-0.596</v>
      </c>
      <c r="D7" s="8" t="n">
        <v>1.3</v>
      </c>
      <c r="E7" s="8" t="n">
        <v>2.2</v>
      </c>
      <c r="F7" s="9" t="n">
        <v>0</v>
      </c>
    </row>
    <row r="8" ht="16" customHeight="1">
      <c r="A8" s="10" t="n">
        <v>6</v>
      </c>
      <c r="B8" s="11" t="n">
        <v>3.893</v>
      </c>
      <c r="C8" s="11" t="n">
        <v>-0.393</v>
      </c>
      <c r="D8" s="11" t="n">
        <v>1.3</v>
      </c>
      <c r="E8" s="11" t="n">
        <v>2.2</v>
      </c>
      <c r="F8" s="12" t="n">
        <v>0</v>
      </c>
    </row>
    <row r="9" ht="16" customHeight="1">
      <c r="A9" s="7" t="n">
        <v>7</v>
      </c>
      <c r="B9" s="8" t="n">
        <v>3.681</v>
      </c>
      <c r="C9" s="8" t="n">
        <v>-0.181</v>
      </c>
      <c r="D9" s="8" t="n">
        <v>1.3</v>
      </c>
      <c r="E9" s="8" t="n">
        <v>2.2</v>
      </c>
      <c r="F9" s="9" t="n">
        <v>0</v>
      </c>
    </row>
    <row r="10" ht="16" customHeight="1">
      <c r="A10" s="10" t="n">
        <v>8</v>
      </c>
      <c r="B10" s="11" t="n">
        <v>3.461</v>
      </c>
      <c r="C10" s="11" t="n">
        <v>0.039</v>
      </c>
      <c r="D10" s="11" t="n">
        <v>1.3</v>
      </c>
      <c r="E10" s="11" t="n">
        <v>2.2</v>
      </c>
      <c r="F10" s="12" t="n">
        <v>0</v>
      </c>
    </row>
    <row r="11" ht="16" customHeight="1">
      <c r="A11" s="7" t="n">
        <v>9</v>
      </c>
      <c r="B11" s="8" t="n">
        <v>3.231</v>
      </c>
      <c r="C11" s="8" t="n">
        <v>0.269</v>
      </c>
      <c r="D11" s="8" t="n">
        <v>1.3</v>
      </c>
      <c r="E11" s="8" t="n">
        <v>2.2</v>
      </c>
      <c r="F11" s="9" t="n">
        <v>0</v>
      </c>
    </row>
    <row r="12" ht="16" customHeight="1">
      <c r="A12" s="10" t="n">
        <v>10</v>
      </c>
      <c r="B12" s="11" t="n">
        <v>2.993</v>
      </c>
      <c r="C12" s="11" t="n">
        <v>0.507</v>
      </c>
      <c r="D12" s="11" t="n">
        <v>1.3</v>
      </c>
      <c r="E12" s="11" t="n">
        <v>2.2</v>
      </c>
      <c r="F12" s="12" t="n">
        <v>0</v>
      </c>
    </row>
    <row r="13" ht="16" customHeight="1">
      <c r="A13" s="7" t="n">
        <v>11</v>
      </c>
      <c r="B13" s="8" t="n">
        <v>2.744</v>
      </c>
      <c r="C13" s="8" t="n">
        <v>0.756</v>
      </c>
      <c r="D13" s="8" t="n">
        <v>1.3</v>
      </c>
      <c r="E13" s="8" t="n">
        <v>2.2</v>
      </c>
      <c r="F13" s="9" t="n">
        <v>0</v>
      </c>
    </row>
    <row r="14" ht="16" customHeight="1">
      <c r="A14" s="10" t="n">
        <v>12</v>
      </c>
      <c r="B14" s="11" t="n">
        <v>2.486</v>
      </c>
      <c r="C14" s="11" t="n">
        <v>1.014</v>
      </c>
      <c r="D14" s="11" t="n">
        <v>1.3</v>
      </c>
      <c r="E14" s="11" t="n">
        <v>2.2</v>
      </c>
      <c r="F14" s="12" t="n">
        <v>0</v>
      </c>
    </row>
    <row r="15" ht="16" customHeight="1">
      <c r="A15" s="7" t="n">
        <v>13</v>
      </c>
      <c r="B15" s="8" t="n">
        <v>2.217</v>
      </c>
      <c r="C15" s="8" t="n">
        <v>1.283</v>
      </c>
      <c r="D15" s="8" t="n">
        <v>1.3</v>
      </c>
      <c r="E15" s="8" t="n">
        <v>2.2</v>
      </c>
      <c r="F15" s="9" t="n">
        <v>0</v>
      </c>
    </row>
    <row r="16" ht="16" customHeight="1">
      <c r="A16" s="13" t="n">
        <v>14</v>
      </c>
      <c r="B16" s="14" t="n">
        <v>1.937</v>
      </c>
      <c r="C16" s="14" t="n">
        <v>1.563</v>
      </c>
      <c r="D16" s="14" t="n">
        <v>1.3</v>
      </c>
      <c r="E16" s="14" t="n">
        <v>2.2</v>
      </c>
      <c r="F16" s="15" t="n">
        <v>4344</v>
      </c>
    </row>
    <row r="17" ht="16" customHeight="1">
      <c r="A17" s="16" t="n">
        <v>15</v>
      </c>
      <c r="B17" s="17" t="n">
        <v>1.645</v>
      </c>
      <c r="C17" s="17" t="n">
        <v>1.855</v>
      </c>
      <c r="D17" s="17" t="n">
        <v>1.3</v>
      </c>
      <c r="E17" s="17" t="n">
        <v>2.2</v>
      </c>
      <c r="F17" s="18" t="n">
        <v>6384</v>
      </c>
    </row>
    <row r="18" ht="16" customHeight="1">
      <c r="A18" s="10" t="n">
        <v>16</v>
      </c>
      <c r="B18" s="11" t="n">
        <v>1.342</v>
      </c>
      <c r="C18" s="11" t="n">
        <v>2.158</v>
      </c>
      <c r="D18" s="11" t="n">
        <v>1.3</v>
      </c>
      <c r="E18" s="11" t="n">
        <v>2.2</v>
      </c>
      <c r="F18" s="12" t="n">
        <v>8507</v>
      </c>
    </row>
    <row r="19" ht="16" customHeight="1">
      <c r="A19" s="7" t="n">
        <v>17</v>
      </c>
      <c r="B19" s="8" t="n">
        <v>1.026</v>
      </c>
      <c r="C19" s="8" t="n">
        <v>2.474</v>
      </c>
      <c r="D19" s="8" t="n">
        <v>1.3</v>
      </c>
      <c r="E19" s="8" t="n">
        <v>2.2</v>
      </c>
      <c r="F19" s="9" t="n">
        <v>10716</v>
      </c>
    </row>
    <row r="20" ht="16" customHeight="1">
      <c r="A20" s="10" t="n">
        <v>18</v>
      </c>
      <c r="B20" s="11" t="n">
        <v>0.698</v>
      </c>
      <c r="C20" s="11" t="n">
        <v>2.802</v>
      </c>
      <c r="D20" s="11" t="n">
        <v>1.3</v>
      </c>
      <c r="E20" s="11" t="n">
        <v>2.2</v>
      </c>
      <c r="F20" s="12" t="n">
        <v>13713</v>
      </c>
    </row>
    <row r="21" ht="16" customHeight="1">
      <c r="A21" s="7" t="n">
        <v>19</v>
      </c>
      <c r="B21" s="8" t="n">
        <v>0.356</v>
      </c>
      <c r="C21" s="8" t="n">
        <v>3.144</v>
      </c>
      <c r="D21" s="8" t="n">
        <v>1.3</v>
      </c>
      <c r="E21" s="8" t="n">
        <v>2.2</v>
      </c>
      <c r="F21" s="9" t="n">
        <v>17132</v>
      </c>
    </row>
    <row r="22" ht="16" customHeight="1">
      <c r="A22" s="10" t="n">
        <v>20</v>
      </c>
      <c r="B22" s="11" t="n">
        <v>0</v>
      </c>
      <c r="C22" s="11" t="n">
        <v>3.5</v>
      </c>
      <c r="D22" s="11" t="n">
        <v>1.3</v>
      </c>
      <c r="E22" s="11" t="n">
        <v>2.2</v>
      </c>
      <c r="F22" s="12" t="n">
        <v>20690</v>
      </c>
    </row>
    <row r="24" ht="20" customHeight="1">
      <c r="A24" s="19" t="inlineStr">
        <is>
          <t>🔴 An 14 = déclenchement IFI (CRD passe sous 2,2M€)   |   🟣 An 15 = croisement CRD / Base IFI (CRD = Base = 1,75M€)   |   Ces deux événements sont distincts</t>
        </is>
      </c>
    </row>
  </sheetData>
  <mergeCells count="2">
    <mergeCell ref="A24:F2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5" customWidth="1" min="3" max="3"/>
  </cols>
  <sheetData>
    <row r="1" ht="28" customHeight="1">
      <c r="A1" s="1" t="inlineStr">
        <is>
          <t>Annotations du graphique — à coller comme zones de texte dans Excel</t>
        </is>
      </c>
    </row>
    <row r="2" ht="20" customHeight="1">
      <c r="A2" s="20" t="inlineStr">
        <is>
          <t>Couleur</t>
        </is>
      </c>
      <c r="B2" s="20" t="inlineStr">
        <is>
          <t>Texte annotation</t>
        </is>
      </c>
      <c r="C2" s="20" t="inlineStr">
        <is>
          <t>Où la placer</t>
        </is>
      </c>
    </row>
    <row r="3" ht="50" customHeight="1">
      <c r="A3" s="21" t="inlineStr">
        <is>
          <t>🔴 Rouge</t>
        </is>
      </c>
      <c r="B3" s="21" t="inlineStr">
        <is>
          <t>An 14 — IFI se déclenche
CRD = 1.94M€ &lt; 2,2M€
Base taxable = 1.56M€ &gt; seuil 1,3M€</t>
        </is>
      </c>
      <c r="C3" s="21" t="inlineStr">
        <is>
          <t>Sur la courbe bleue à l'an 14</t>
        </is>
      </c>
    </row>
    <row r="4" ht="50" customHeight="1">
      <c r="A4" s="22" t="inlineStr">
        <is>
          <t>🟣 Violet</t>
        </is>
      </c>
      <c r="B4" s="22" t="inlineStr">
        <is>
          <t>An 15 — Croisement CRD = Base IFI
CRD = Base = 1,75M€
≠ déclenchement IFI (3 ans plus tard)</t>
        </is>
      </c>
      <c r="C4" s="22" t="inlineStr">
        <is>
          <t>Sur le point de croisement an 15</t>
        </is>
      </c>
    </row>
    <row r="5" ht="50" customHeight="1">
      <c r="A5" s="23" t="inlineStr">
        <is>
          <t>🟢 Vert</t>
        </is>
      </c>
      <c r="B5" s="23" t="inlineStr">
        <is>
          <t>ZONE VERTE — IFI = 0 €
13 ans de protection totale
Économie : 20 690 €/an</t>
        </is>
      </c>
      <c r="C5" s="23" t="inlineStr">
        <is>
          <t>Zone gauche, milieu bas</t>
        </is>
      </c>
    </row>
    <row r="6" ht="50" customHeight="1">
      <c r="A6" s="24" t="inlineStr">
        <is>
          <t>🔴 Rouge clair</t>
        </is>
      </c>
      <c r="B6" s="24" t="inlineStr">
        <is>
          <t>ZONE ROUGE — IFI progressive
An 14 à 20
Total IFI payée : 81 000 €</t>
        </is>
      </c>
      <c r="C6" s="24" t="inlineStr">
        <is>
          <t>Zone droite, milieu bas</t>
        </is>
      </c>
    </row>
    <row r="7" ht="50" customHeight="1">
      <c r="A7" s="25" t="inlineStr">
        <is>
          <t>Bleu pointillé</t>
        </is>
      </c>
      <c r="B7" s="25" t="inlineStr">
        <is>
          <t>CRD critique = 2,2M€
En dessous → IFI se déclenche</t>
        </is>
      </c>
      <c r="C7" s="25" t="inlineStr">
        <is>
          <t>À droite de la ligne pointillée bleue</t>
        </is>
      </c>
    </row>
    <row r="8" ht="50" customHeight="1">
      <c r="A8" s="21" t="inlineStr">
        <is>
          <t>Rouge pointillé</t>
        </is>
      </c>
      <c r="B8" s="21" t="inlineStr">
        <is>
          <t>Seuil IFI = 1,3M€
(art. 964 CGI — barème progressif)</t>
        </is>
      </c>
      <c r="C8" s="21" t="inlineStr">
        <is>
          <t>À droite de la ligne rouge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2026-06-17T09:17:38Z</dcterms:created>
  <dcterms:modified xsi:type="dcterms:W3CDTF">2026-06-17T09:17:38Z</dcterms:modified>
</cp:coreProperties>
</file>